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2.xml" ContentType="application/vnd.openxmlformats-officedocument.drawing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theme/themeOverride1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626" codeName="{62F9E958-00F4-224C-1CEB-3A4BEE276A5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ualbertaca-my.sharepoint.com/personal/abinash1_ualberta_ca/Documents/Desktop/side/EcoCar/H2 sensor board/H2-Sensor-Board2022_Lucy/H2 Sensor Board Lucy Rev 1/"/>
    </mc:Choice>
  </mc:AlternateContent>
  <xr:revisionPtr revIDLastSave="1" documentId="13_ncr:1_{2BC1B220-D4DD-439F-A81B-8CA0EAF0F4CF}" xr6:coauthVersionLast="47" xr6:coauthVersionMax="47" xr10:uidLastSave="{4E49BCB5-51B5-496E-B41A-21B8D199B9E6}"/>
  <bookViews>
    <workbookView xWindow="-120" yWindow="-120" windowWidth="29040" windowHeight="15990" xr2:uid="{00000000-000D-0000-FFFF-FFFF00000000}"/>
  </bookViews>
  <sheets>
    <sheet name="Calculation Sheet" sheetId="1" r:id="rId1"/>
    <sheet name="Thermal Shutdown Limit Plot" sheetId="14" r:id="rId2"/>
    <sheet name="Res EIA Tables" sheetId="11" r:id="rId3"/>
    <sheet name="Cap Tables" sheetId="13" r:id="rId4"/>
  </sheets>
  <definedNames>
    <definedName name="_xlnm._FilterDatabase" localSheetId="0" hidden="1">'Calculation Sheet'!$B$16:$F$16</definedName>
    <definedName name="Cdvdt_ext">'Calculation Sheet'!$D$75</definedName>
    <definedName name="Cdvdt_ext_cal1">'Calculation Sheet'!$D$72</definedName>
    <definedName name="Cext_dvdt_cal2">'Calculation Sheet'!$D$73</definedName>
    <definedName name="Cout">'Calculation Sheet'!$D$19</definedName>
    <definedName name="Gain_dVdt">'Calculation Sheet'!$D$67</definedName>
    <definedName name="GainIMON">'Calculation Sheet'!$D$108</definedName>
    <definedName name="I_dVdt">'Calculation Sheet'!$D$66</definedName>
    <definedName name="Icharge">'Calculation Sheet'!$D$76</definedName>
    <definedName name="Icharge_req">'Calculation Sheet'!$D$71</definedName>
    <definedName name="Ilimit">'Calculation Sheet'!$D$22</definedName>
    <definedName name="Ilimit_final">'Calculation Sheet'!$D$61</definedName>
    <definedName name="Imax">'Calculation Sheet'!$D$21</definedName>
    <definedName name="OVref">'Calculation Sheet'!$D$107</definedName>
    <definedName name="OVset">'Calculation Sheet'!#REF!</definedName>
    <definedName name="Rdson_125deg">'Calculation Sheet'!$D$100</definedName>
    <definedName name="Rdson_25deg">'Calculation Sheet'!$D$99</definedName>
    <definedName name="RILM">'Calculation Sheet'!$D$60</definedName>
    <definedName name="Rlimit">'Calculation Sheet'!$D$60</definedName>
    <definedName name="Rlstart">'Calculation Sheet'!$D$20</definedName>
    <definedName name="RpUVLO">'Calculation Sheet'!$D$34</definedName>
    <definedName name="Tchg_dvdt">'Calculation Sheet'!$D$78</definedName>
    <definedName name="Tchg_req">'Calculation Sheet'!$D$70</definedName>
    <definedName name="UVref">'Calculation Sheet'!$D$106</definedName>
    <definedName name="Vcc_max">'Calculation Sheet'!$D$13</definedName>
    <definedName name="VUVP">'Calculation Sheet'!$D$18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2" i="1" l="1"/>
  <c r="F61" i="1" l="1"/>
  <c r="F54" i="1"/>
  <c r="F53" i="1"/>
  <c r="F52" i="1"/>
  <c r="F51" i="1"/>
  <c r="D13" i="1" l="1"/>
  <c r="D58" i="1" l="1"/>
  <c r="D33" i="1" l="1"/>
  <c r="D43" i="1" l="1"/>
  <c r="D35" i="1" l="1"/>
  <c r="L34" i="1"/>
  <c r="D44" i="1" l="1"/>
  <c r="L43" i="1"/>
  <c r="D47" i="1" l="1"/>
  <c r="L35" i="1"/>
  <c r="L36" i="1" s="1"/>
  <c r="G37" i="1" s="1"/>
  <c r="D28" i="1"/>
  <c r="D29" i="1" l="1"/>
  <c r="J37" i="1"/>
  <c r="D46" i="1"/>
  <c r="L45" i="1" s="1"/>
  <c r="L46" i="1" s="1"/>
  <c r="G49" i="1" s="1"/>
  <c r="L48" i="1"/>
  <c r="L49" i="1" s="1"/>
  <c r="G50" i="1" s="1"/>
  <c r="D50" i="1" s="1"/>
  <c r="G20" i="1"/>
  <c r="L59" i="1"/>
  <c r="F62" i="1" l="1"/>
  <c r="D49" i="1" l="1"/>
  <c r="D55" i="1" s="1"/>
  <c r="L60" i="1"/>
  <c r="G60" i="1" s="1"/>
  <c r="D60" i="1" s="1"/>
  <c r="D53" i="1" l="1"/>
  <c r="J47" i="1" s="1"/>
  <c r="D51" i="1"/>
  <c r="J45" i="1" s="1"/>
  <c r="D52" i="1"/>
  <c r="J44" i="1" s="1"/>
  <c r="D54" i="1"/>
  <c r="J46" i="1" s="1"/>
  <c r="F78" i="1" l="1"/>
  <c r="F76" i="1" s="1"/>
  <c r="F37" i="1" l="1"/>
  <c r="F38" i="1" l="1"/>
  <c r="F39" i="1"/>
  <c r="B74" i="13"/>
  <c r="B73" i="13"/>
  <c r="B71" i="13"/>
  <c r="B70" i="13"/>
  <c r="B69" i="13" s="1"/>
  <c r="B67" i="13"/>
  <c r="B66" i="13" s="1"/>
  <c r="B65" i="13" s="1"/>
  <c r="B63" i="13"/>
  <c r="B62" i="13"/>
  <c r="B61" i="13"/>
  <c r="B59" i="13"/>
  <c r="B58" i="13" s="1"/>
  <c r="B57" i="13" s="1"/>
  <c r="B55" i="13"/>
  <c r="B54" i="13"/>
  <c r="B53" i="13" s="1"/>
  <c r="B51" i="13"/>
  <c r="B50" i="13" s="1"/>
  <c r="B49" i="13" s="1"/>
  <c r="B47" i="13"/>
  <c r="B46" i="13"/>
  <c r="B45" i="13" s="1"/>
  <c r="B43" i="13"/>
  <c r="B42" i="13" s="1"/>
  <c r="B41" i="13" s="1"/>
  <c r="B39" i="13"/>
  <c r="B38" i="13"/>
  <c r="B37" i="13" s="1"/>
  <c r="B35" i="13"/>
  <c r="B34" i="13"/>
  <c r="B33" i="13"/>
  <c r="B31" i="13"/>
  <c r="B30" i="13"/>
  <c r="B29" i="13"/>
  <c r="C74" i="13"/>
  <c r="C73" i="13" s="1"/>
  <c r="C71" i="13"/>
  <c r="C70" i="13"/>
  <c r="C69" i="13" s="1"/>
  <c r="C67" i="13"/>
  <c r="C66" i="13"/>
  <c r="C65" i="13" s="1"/>
  <c r="C63" i="13"/>
  <c r="C62" i="13"/>
  <c r="C61" i="13" s="1"/>
  <c r="C59" i="13"/>
  <c r="C58" i="13" s="1"/>
  <c r="C57" i="13" s="1"/>
  <c r="C55" i="13"/>
  <c r="C54" i="13"/>
  <c r="C53" i="13"/>
  <c r="C51" i="13"/>
  <c r="C50" i="13"/>
  <c r="C49" i="13"/>
  <c r="C47" i="13"/>
  <c r="C46" i="13" s="1"/>
  <c r="C45" i="13" s="1"/>
  <c r="C43" i="13"/>
  <c r="C42" i="13"/>
  <c r="C41" i="13" s="1"/>
  <c r="C39" i="13"/>
  <c r="C38" i="13"/>
  <c r="C37" i="13" s="1"/>
  <c r="C35" i="13"/>
  <c r="C34" i="13"/>
  <c r="C33" i="13"/>
  <c r="C31" i="13"/>
  <c r="C30" i="13"/>
  <c r="C29" i="13"/>
  <c r="C27" i="13"/>
  <c r="C26" i="13" s="1"/>
  <c r="C25" i="13" s="1"/>
  <c r="C23" i="13"/>
  <c r="C22" i="13" s="1"/>
  <c r="C21" i="13" s="1"/>
  <c r="C19" i="13"/>
  <c r="C18" i="13" s="1"/>
  <c r="C17" i="13" s="1"/>
  <c r="D82" i="1"/>
  <c r="D61" i="1" l="1"/>
  <c r="D62" i="1" l="1"/>
  <c r="D72" i="1"/>
  <c r="D37" i="1"/>
  <c r="D73" i="1" l="1"/>
  <c r="G73" i="1" s="1"/>
  <c r="D68" i="1"/>
  <c r="D39" i="1"/>
  <c r="J35" i="1" s="1"/>
  <c r="D40" i="1"/>
  <c r="D38" i="1"/>
  <c r="J36" i="1" s="1"/>
  <c r="J59" i="1"/>
  <c r="G75" i="1" l="1"/>
  <c r="D75" i="1" s="1"/>
  <c r="D76" i="1" s="1"/>
  <c r="J58" i="1" l="1"/>
  <c r="G77" i="1"/>
  <c r="D77" i="1"/>
  <c r="D89" i="1"/>
  <c r="D90" i="1"/>
  <c r="D78" i="1" l="1"/>
  <c r="D79" i="1"/>
  <c r="D83" i="1" s="1"/>
  <c r="B3" i="14" l="1"/>
  <c r="M90" i="1"/>
  <c r="M86" i="1"/>
  <c r="M88" i="1"/>
  <c r="M89" i="1"/>
  <c r="M85" i="1"/>
  <c r="M84" i="1"/>
  <c r="C3" i="14"/>
  <c r="D84" i="1" l="1"/>
  <c r="D85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Vishal Gupta</author>
    <author>a0393740</author>
  </authors>
  <commentList>
    <comment ref="G20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Min Rlstart allowed.</t>
        </r>
      </text>
    </comment>
    <comment ref="C34" authorId="1" shapeId="0" xr:uid="{00000000-0006-0000-0000-000002000000}">
      <text>
        <r>
          <rPr>
            <sz val="9"/>
            <color indexed="81"/>
            <rFont val="Tahoma"/>
            <family val="2"/>
          </rPr>
          <t>Higher value will limit the input current drawn from source</t>
        </r>
      </text>
    </comment>
    <comment ref="C45" authorId="1" shapeId="0" xr:uid="{00000000-0006-0000-0000-000003000000}">
      <text>
        <r>
          <rPr>
            <sz val="9"/>
            <color indexed="81"/>
            <rFont val="Tahoma"/>
            <family val="2"/>
          </rPr>
          <t>Higher value will limit the input current drawn from source</t>
        </r>
      </text>
    </comment>
  </commentList>
</comments>
</file>

<file path=xl/sharedStrings.xml><?xml version="1.0" encoding="utf-8"?>
<sst xmlns="http://schemas.openxmlformats.org/spreadsheetml/2006/main" count="332" uniqueCount="217">
  <si>
    <t>Parameter</t>
  </si>
  <si>
    <t>Description</t>
  </si>
  <si>
    <t xml:space="preserve">Value </t>
  </si>
  <si>
    <t xml:space="preserve"> Units</t>
  </si>
  <si>
    <t>A</t>
  </si>
  <si>
    <t>ms</t>
  </si>
  <si>
    <t>V</t>
  </si>
  <si>
    <t>uA</t>
  </si>
  <si>
    <t>nF</t>
  </si>
  <si>
    <t>Cout</t>
  </si>
  <si>
    <t>Load Capacitance</t>
  </si>
  <si>
    <t>uF</t>
  </si>
  <si>
    <t>Imax</t>
  </si>
  <si>
    <t>Maximum continuous load current (magnitude)</t>
  </si>
  <si>
    <t>Ilimit</t>
  </si>
  <si>
    <t>Ilimit_final</t>
  </si>
  <si>
    <t>Final current Limit Set Point</t>
  </si>
  <si>
    <t>Calculated current limit resistor</t>
  </si>
  <si>
    <t>kOhm</t>
  </si>
  <si>
    <t>TA(max)</t>
  </si>
  <si>
    <t>Parameters internal to Device</t>
  </si>
  <si>
    <t>VDSS (max)</t>
  </si>
  <si>
    <t>FET drain-source voltage rating (maximum)</t>
  </si>
  <si>
    <t>ID(max)</t>
  </si>
  <si>
    <t>FET drain-source current rating (maximum)</t>
  </si>
  <si>
    <t>FET maximum Rds(on) at 125degC</t>
  </si>
  <si>
    <t>Rds(on)_max</t>
  </si>
  <si>
    <t>mOhm</t>
  </si>
  <si>
    <t>Rds(on)</t>
  </si>
  <si>
    <t>FET maximum Rds(on) at 25degC</t>
  </si>
  <si>
    <t>Tj(max)</t>
  </si>
  <si>
    <t>Maximum ambient temperature of the application</t>
  </si>
  <si>
    <t>W</t>
  </si>
  <si>
    <t>Deice maximum junction temperature</t>
  </si>
  <si>
    <t>Junction to ambient thermal resistance</t>
  </si>
  <si>
    <t>Charging time set</t>
  </si>
  <si>
    <t>Thermal Parameters</t>
  </si>
  <si>
    <t>Internal FET Parameters</t>
  </si>
  <si>
    <t>Vdrop</t>
  </si>
  <si>
    <t>mV</t>
  </si>
  <si>
    <t>Maximum voltage drop across device @ 25 degC</t>
  </si>
  <si>
    <t xml:space="preserve">Steady state power dissipation with Max current @ 25degC </t>
  </si>
  <si>
    <t>mW</t>
  </si>
  <si>
    <t>Constants Cells</t>
  </si>
  <si>
    <t>Input/SelectCells</t>
  </si>
  <si>
    <t>Calculation Cells</t>
  </si>
  <si>
    <t>Steady state Voltage drop &amp; Power dissipation</t>
  </si>
  <si>
    <t>Total Power dissipation at Start-up</t>
  </si>
  <si>
    <t>Rlstart</t>
  </si>
  <si>
    <t>Ohm</t>
  </si>
  <si>
    <t>Pd_Rlstart</t>
  </si>
  <si>
    <t>Total power dissipation at start-up</t>
  </si>
  <si>
    <t>Pd_startup</t>
  </si>
  <si>
    <t>Internal References</t>
  </si>
  <si>
    <t>R2</t>
  </si>
  <si>
    <t>Select the closest possible value as R2_cal</t>
  </si>
  <si>
    <t>pF</t>
  </si>
  <si>
    <t>Tchg_req</t>
  </si>
  <si>
    <t>The charging time required</t>
  </si>
  <si>
    <t>Icharge_req</t>
  </si>
  <si>
    <t>Icharge</t>
  </si>
  <si>
    <t>Power dissipation due to load cap at start-up</t>
  </si>
  <si>
    <t>Power dissipation due to load resistance at start-up</t>
  </si>
  <si>
    <t>Tolerance</t>
  </si>
  <si>
    <t>Standard EIA Decade Resistor Values</t>
  </si>
  <si>
    <t>0.5%, 0.25%, 0.1%</t>
  </si>
  <si>
    <t>E6</t>
  </si>
  <si>
    <t>E12</t>
  </si>
  <si>
    <t>E24</t>
  </si>
  <si>
    <t>E48</t>
  </si>
  <si>
    <t>E96</t>
  </si>
  <si>
    <t>E192</t>
  </si>
  <si>
    <t>End Values Required for Processing</t>
  </si>
  <si>
    <t>µF</t>
  </si>
  <si>
    <t>Standard Capacitor Values</t>
  </si>
  <si>
    <t>V/V</t>
  </si>
  <si>
    <t>mF</t>
  </si>
  <si>
    <t>R2_cal</t>
  </si>
  <si>
    <r>
      <t></t>
    </r>
    <r>
      <rPr>
        <sz val="11"/>
        <color theme="1"/>
        <rFont val="Calibri"/>
        <family val="2"/>
        <scheme val="minor"/>
      </rPr>
      <t>C</t>
    </r>
  </si>
  <si>
    <r>
      <t></t>
    </r>
    <r>
      <rPr>
        <sz val="11"/>
        <color theme="1"/>
        <rFont val="Calibri"/>
        <family val="2"/>
        <scheme val="minor"/>
      </rPr>
      <t>C/W</t>
    </r>
  </si>
  <si>
    <r>
      <t>R</t>
    </r>
    <r>
      <rPr>
        <sz val="10"/>
        <rFont val="Symbol"/>
        <family val="1"/>
        <charset val="2"/>
      </rPr>
      <t></t>
    </r>
    <r>
      <rPr>
        <sz val="11"/>
        <color theme="1"/>
        <rFont val="Calibri"/>
        <family val="2"/>
        <scheme val="minor"/>
      </rPr>
      <t>JA</t>
    </r>
  </si>
  <si>
    <t>UVref</t>
  </si>
  <si>
    <t>Calculated, but can be over-ridden by user</t>
  </si>
  <si>
    <t>Thermal Shutdown Time Vs. Power Dissipation</t>
  </si>
  <si>
    <t>Title of Graph</t>
  </si>
  <si>
    <t xml:space="preserve">X-Axis </t>
  </si>
  <si>
    <t xml:space="preserve"> Power Dissipation (W)</t>
  </si>
  <si>
    <t>Power Fail 
(VIN Falling)</t>
  </si>
  <si>
    <t>Inrush Charging 
Current</t>
  </si>
  <si>
    <t>Overload Curr
Limit</t>
  </si>
  <si>
    <t>Icharge_fastest</t>
  </si>
  <si>
    <t>Charging (inrush) current desired in the system</t>
  </si>
  <si>
    <t>Does Device Enter Current Limit during start-up?</t>
  </si>
  <si>
    <t>Select a value &gt; 100K to keep I_R12 low</t>
  </si>
  <si>
    <t>SELECT THE VALUE OF RESISTORS AS CLOSEST AVAILABLE VALUE OF R2</t>
  </si>
  <si>
    <t>Current in R1, R2 Branch</t>
  </si>
  <si>
    <t>Pdiss_Imax</t>
  </si>
  <si>
    <t>VIN (max)</t>
  </si>
  <si>
    <t>I_R12</t>
  </si>
  <si>
    <t>calculated value of capacitor at dVdT pin for required Tcharge</t>
  </si>
  <si>
    <t>calculated value of capacitor at dVdT pin for required Icharge</t>
  </si>
  <si>
    <t>Cext_dvdt_cal1</t>
  </si>
  <si>
    <t>Cext_dvdt_cal2</t>
  </si>
  <si>
    <t>SELECT A CAPACITOR WITH THE CLOSEST POSSIBLE VALUE to max(Cext_dvdt_cal1, Cext_dvdt_cal2)</t>
  </si>
  <si>
    <t>CdVdT_ext</t>
  </si>
  <si>
    <r>
      <t>V</t>
    </r>
    <r>
      <rPr>
        <vertAlign val="subscript"/>
        <sz val="11"/>
        <color theme="1"/>
        <rFont val="Calibri"/>
        <family val="2"/>
        <scheme val="minor"/>
      </rPr>
      <t>OVC</t>
    </r>
  </si>
  <si>
    <t>Over Voltage Clamp</t>
  </si>
  <si>
    <t>OV Clamp
(VIN Rising)</t>
  </si>
  <si>
    <t>Release UVLO (VIN Rising)</t>
  </si>
  <si>
    <t>Charging Current as per dVdT setting</t>
  </si>
  <si>
    <t>Tchg_dVdT</t>
  </si>
  <si>
    <t>Pd_Cout_startup</t>
  </si>
  <si>
    <t>TPS259531</t>
  </si>
  <si>
    <t>Latch-off</t>
  </si>
  <si>
    <t>Auto-retry</t>
  </si>
  <si>
    <t>R1: Pullup at EN/UVLO Pin</t>
  </si>
  <si>
    <t>Calculated value of Resistor at EN/UVLO pin</t>
  </si>
  <si>
    <t>Release OVLO (VIN Falling)</t>
  </si>
  <si>
    <t>Y-Axis</t>
  </si>
  <si>
    <t>Thermal Shutdown time (ms)</t>
  </si>
  <si>
    <t>Pd (W)</t>
  </si>
  <si>
    <t>Tstart (ms)</t>
  </si>
  <si>
    <t>OVref</t>
  </si>
  <si>
    <t>OV Cutoff (VIN Rising)</t>
  </si>
  <si>
    <t>Current monitor gain</t>
  </si>
  <si>
    <t>uA/A</t>
  </si>
  <si>
    <t>GainIMON</t>
  </si>
  <si>
    <t>SELECT A ILIMIT RESISTOR WITH THE CLOSEST AVAILABLE VALUE OF Rilm_Cal</t>
  </si>
  <si>
    <t>Calculations for Ilimit (resistor on ILM Pin)</t>
  </si>
  <si>
    <t>RILM</t>
  </si>
  <si>
    <t>RILM_Cal</t>
  </si>
  <si>
    <t>Thermal Shutdown Time (ms) Vs. Power Dissipation (W)</t>
  </si>
  <si>
    <t>Calculations for SoftStart control (external cap on dVdt pin)</t>
  </si>
  <si>
    <t>Internal current charging capacitor on dVdt</t>
  </si>
  <si>
    <t>Internal Gain for dVdt Control</t>
  </si>
  <si>
    <t>I_dVdt</t>
  </si>
  <si>
    <t>Gain_dVdt</t>
  </si>
  <si>
    <t>when no external capacitor  is connected (max. slew rate)</t>
  </si>
  <si>
    <t>Tchg_fastest</t>
  </si>
  <si>
    <t>Table - 1: Device Comparison Table</t>
  </si>
  <si>
    <t>Error Cells, Must be Fixed</t>
  </si>
  <si>
    <r>
      <t>V</t>
    </r>
    <r>
      <rPr>
        <vertAlign val="subscript"/>
        <sz val="11"/>
        <color theme="1"/>
        <rFont val="Calibri"/>
        <family val="2"/>
        <scheme val="minor"/>
      </rPr>
      <t>UVP</t>
    </r>
  </si>
  <si>
    <t>Internal Undervoltage Protection Threshold (VIN Rising)</t>
  </si>
  <si>
    <t>R1: Pullup at EN/OVLO Pin</t>
  </si>
  <si>
    <t>Calculated value of Resistor at EN/OVLO pin</t>
  </si>
  <si>
    <t>Internal Overvoltage reference (Rising)</t>
  </si>
  <si>
    <t>Internal Undervoltage reference (Falling)</t>
  </si>
  <si>
    <t>UV_final_rising</t>
  </si>
  <si>
    <t>UV_final_falling</t>
  </si>
  <si>
    <t>Undervoltage Threshold (VIN Falling)</t>
  </si>
  <si>
    <t>Current Monitor Gain</t>
  </si>
  <si>
    <t>Current Monitoring Voltage at ILM pin</t>
  </si>
  <si>
    <t>mV/A</t>
  </si>
  <si>
    <t>Max power dissipation allowed for glitch-free startup for the programmed startup time (20% margin)</t>
  </si>
  <si>
    <t>Maximum Operating input voltage (magnitude)</t>
  </si>
  <si>
    <t>TPS259620</t>
  </si>
  <si>
    <t>TPS259621</t>
  </si>
  <si>
    <t>TPS259630</t>
  </si>
  <si>
    <t>Adjustable OVLO</t>
  </si>
  <si>
    <t>Select Device</t>
  </si>
  <si>
    <t>Refer to Table-1 and select based on OverVoltage Clamp/Lockout and Latch-off/Auto-retry requirement</t>
  </si>
  <si>
    <t>OVLO Set Point</t>
  </si>
  <si>
    <t>VOVC</t>
  </si>
  <si>
    <t>R_OVCSEL</t>
  </si>
  <si>
    <t>Calculated value of Resistor at OVCSEL pin</t>
  </si>
  <si>
    <t>Short to GND</t>
  </si>
  <si>
    <t>Open</t>
  </si>
  <si>
    <t>Desired Over Voltage Lockout Set Point</t>
  </si>
  <si>
    <t xml:space="preserve">Desired Over Voltage Clamp </t>
  </si>
  <si>
    <t>Desired Undervoltage Threshold (VIN Rising)</t>
  </si>
  <si>
    <t>Select a value &gt; 100K to keep I_R123 low</t>
  </si>
  <si>
    <t>R2+R3</t>
  </si>
  <si>
    <t>R3_cal</t>
  </si>
  <si>
    <t>R3</t>
  </si>
  <si>
    <t>Select the closest possible value as R3_cal</t>
  </si>
  <si>
    <t>Undervoltage Threshold (VIN Rising)</t>
  </si>
  <si>
    <t>OV_final_rising</t>
  </si>
  <si>
    <t>OV_final_falling</t>
  </si>
  <si>
    <t>Overvoltage Threshold (VIN Rising)</t>
  </si>
  <si>
    <t>Overvoltage Threshold (VIN Falling)</t>
  </si>
  <si>
    <t>VIN (max) Selected</t>
  </si>
  <si>
    <t>Maximum Operating input voltage selected from D6 and D7</t>
  </si>
  <si>
    <t>I_R123</t>
  </si>
  <si>
    <t>Current in R1, R2 and R3 Branch</t>
  </si>
  <si>
    <r>
      <t xml:space="preserve">OVC set point calculations </t>
    </r>
    <r>
      <rPr>
        <b/>
        <i/>
        <sz val="16"/>
        <rFont val="Calibri"/>
        <family val="2"/>
        <scheme val="minor"/>
      </rPr>
      <t>(TPS25962x)</t>
    </r>
  </si>
  <si>
    <r>
      <t xml:space="preserve">UVLO set point calculations </t>
    </r>
    <r>
      <rPr>
        <b/>
        <i/>
        <sz val="16"/>
        <rFont val="Calibri"/>
        <family val="2"/>
        <scheme val="minor"/>
      </rPr>
      <t>(TPS25962x)</t>
    </r>
  </si>
  <si>
    <r>
      <t xml:space="preserve">UVLO, OVLO set point calculations </t>
    </r>
    <r>
      <rPr>
        <b/>
        <i/>
        <sz val="16"/>
        <rFont val="Calibri"/>
        <family val="2"/>
        <scheme val="minor"/>
      </rPr>
      <t>(TPS259563x)</t>
    </r>
  </si>
  <si>
    <t>TPS2596xx Design Calculation Tool</t>
  </si>
  <si>
    <t>-40 degC</t>
  </si>
  <si>
    <t>25 degC</t>
  </si>
  <si>
    <t>85 degC</t>
  </si>
  <si>
    <t>125 degC</t>
  </si>
  <si>
    <t>PD(W)</t>
  </si>
  <si>
    <t>Time(ms)</t>
  </si>
  <si>
    <t>Label</t>
  </si>
  <si>
    <r>
      <t>T</t>
    </r>
    <r>
      <rPr>
        <vertAlign val="subscript"/>
        <sz val="11"/>
        <color theme="1"/>
        <rFont val="Calibri"/>
        <family val="2"/>
        <scheme val="minor"/>
      </rPr>
      <t>A, MAX</t>
    </r>
  </si>
  <si>
    <t>Maximum Operating Ambient temperature</t>
  </si>
  <si>
    <r>
      <rPr>
        <sz val="11"/>
        <color theme="1"/>
        <rFont val="Calibri"/>
        <family val="2"/>
      </rPr>
      <t>°</t>
    </r>
    <r>
      <rPr>
        <sz val="11"/>
        <color theme="1"/>
        <rFont val="Calibri"/>
        <family val="2"/>
        <scheme val="minor"/>
      </rPr>
      <t>C</t>
    </r>
  </si>
  <si>
    <r>
      <t>R</t>
    </r>
    <r>
      <rPr>
        <vertAlign val="subscript"/>
        <sz val="11"/>
        <color theme="1"/>
        <rFont val="Calibri"/>
        <family val="2"/>
        <scheme val="minor"/>
      </rPr>
      <t>θJA</t>
    </r>
  </si>
  <si>
    <r>
      <rPr>
        <sz val="11"/>
        <color theme="1"/>
        <rFont val="Calibri"/>
        <family val="2"/>
      </rPr>
      <t>°</t>
    </r>
    <r>
      <rPr>
        <sz val="11"/>
        <color theme="1"/>
        <rFont val="Calibri"/>
        <family val="2"/>
        <scheme val="minor"/>
      </rPr>
      <t>C/W</t>
    </r>
  </si>
  <si>
    <t>Junction-to-Ambient Thermal Resistance</t>
  </si>
  <si>
    <t>Two layer</t>
  </si>
  <si>
    <t>Single layer</t>
  </si>
  <si>
    <t>Response to Thermal Shutdown (TSD)</t>
  </si>
  <si>
    <t>Overvoltage Response</t>
  </si>
  <si>
    <t>Part number</t>
  </si>
  <si>
    <t>OVC - 3.8 V, 5.7 V, 13.7 V (Pin Selectable)</t>
  </si>
  <si>
    <t>Load at start-up (assumed to be resistive), Refer to Section 9.2.3.3.2 in Datasheet</t>
  </si>
  <si>
    <r>
      <t>Select the closest available value of R</t>
    </r>
    <r>
      <rPr>
        <sz val="11"/>
        <color theme="1"/>
        <rFont val="Calibri"/>
        <family val="2"/>
        <scheme val="minor"/>
      </rPr>
      <t>LM_cal</t>
    </r>
  </si>
  <si>
    <r>
      <t xml:space="preserve">Charging current when charging at fastest possible rate
</t>
    </r>
    <r>
      <rPr>
        <sz val="11"/>
        <color rgb="FFFF3300"/>
        <rFont val="Calibri"/>
        <family val="2"/>
        <scheme val="minor"/>
      </rPr>
      <t>If this current is &lt; Ilimit, no capacitor is required at dVdT pin</t>
    </r>
  </si>
  <si>
    <r>
      <t xml:space="preserve">Will the system have glitch-free startup?
</t>
    </r>
    <r>
      <rPr>
        <b/>
        <sz val="11"/>
        <color rgb="FFFF0000"/>
        <rFont val="Calibri"/>
        <family val="2"/>
        <scheme val="minor"/>
      </rPr>
      <t>Look at Thermal Shutdown Limit Plot Tab</t>
    </r>
  </si>
  <si>
    <t>Power Fail (VIN Falling)</t>
  </si>
  <si>
    <t>Recommended Value</t>
  </si>
  <si>
    <t>UVLO Set Point</t>
  </si>
  <si>
    <r>
      <t>V</t>
    </r>
    <r>
      <rPr>
        <vertAlign val="subscript"/>
        <sz val="11"/>
        <color theme="1"/>
        <rFont val="Calibri"/>
        <family val="2"/>
        <scheme val="minor"/>
      </rPr>
      <t>CLAMP</t>
    </r>
  </si>
  <si>
    <t>The external capacitor connecetd across dVdT pin (OPEN, or &gt;=1nF)</t>
  </si>
  <si>
    <t>Current Limit, 10.5% higher than maximum continuous load current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</si>
</sst>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"/>
    <numFmt numFmtId="165" formatCode="0.0%"/>
    <numFmt numFmtId="166" formatCode="0.000"/>
  </numFmts>
  <fonts count="4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name val="Symbol"/>
      <family val="1"/>
      <charset val="2"/>
    </font>
    <font>
      <sz val="10"/>
      <name val="Arial"/>
      <family val="2"/>
    </font>
    <font>
      <sz val="10"/>
      <color theme="1"/>
      <name val="Calibri"/>
      <family val="2"/>
      <scheme val="minor"/>
    </font>
    <font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8"/>
      <color rgb="FF333333"/>
      <name val="Arial"/>
      <family val="2"/>
    </font>
    <font>
      <sz val="9"/>
      <color rgb="FF000000"/>
      <name val="Verdana"/>
      <family val="2"/>
    </font>
    <font>
      <u/>
      <sz val="11"/>
      <color theme="10"/>
      <name val="Calibri"/>
      <family val="2"/>
      <scheme val="minor"/>
    </font>
    <font>
      <u/>
      <sz val="20"/>
      <color theme="10"/>
      <name val="Calibri"/>
      <family val="2"/>
      <scheme val="minor"/>
    </font>
    <font>
      <sz val="12"/>
      <name val="Calibri"/>
      <family val="2"/>
      <scheme val="minor"/>
    </font>
    <font>
      <i/>
      <sz val="11"/>
      <name val="Calibri"/>
      <family val="2"/>
      <scheme val="minor"/>
    </font>
    <font>
      <sz val="1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name val="Calibri"/>
      <family val="2"/>
      <scheme val="minor"/>
    </font>
    <font>
      <b/>
      <sz val="10"/>
      <name val="Arial"/>
      <family val="2"/>
    </font>
    <font>
      <sz val="8"/>
      <color theme="1"/>
      <name val="Calibri"/>
      <family val="2"/>
      <scheme val="minor"/>
    </font>
    <font>
      <i/>
      <sz val="16"/>
      <name val="Calibri"/>
      <family val="2"/>
      <scheme val="minor"/>
    </font>
    <font>
      <i/>
      <sz val="16"/>
      <color theme="1"/>
      <name val="Calibri"/>
      <family val="2"/>
      <scheme val="minor"/>
    </font>
    <font>
      <sz val="10.5"/>
      <color rgb="FFFF0000"/>
      <name val="Calibri"/>
      <family val="2"/>
      <scheme val="minor"/>
    </font>
    <font>
      <b/>
      <sz val="11"/>
      <color rgb="FFFF3300"/>
      <name val="Calibri"/>
      <family val="2"/>
      <scheme val="minor"/>
    </font>
    <font>
      <b/>
      <sz val="9"/>
      <color indexed="81"/>
      <name val="Tahoma"/>
      <family val="2"/>
    </font>
    <font>
      <vertAlign val="subscript"/>
      <sz val="11"/>
      <color theme="1"/>
      <name val="Calibri"/>
      <family val="2"/>
      <scheme val="minor"/>
    </font>
    <font>
      <sz val="10.5"/>
      <name val="Calibri"/>
      <family val="2"/>
      <scheme val="minor"/>
    </font>
    <font>
      <sz val="11"/>
      <color theme="1"/>
      <name val="Calibri"/>
      <family val="2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color rgb="FF0000FF"/>
      <name val="Arial"/>
      <family val="2"/>
    </font>
    <font>
      <b/>
      <sz val="16"/>
      <name val="Calibri"/>
      <family val="2"/>
      <scheme val="minor"/>
    </font>
    <font>
      <b/>
      <sz val="20"/>
      <name val="Calibri"/>
      <family val="2"/>
      <scheme val="minor"/>
    </font>
    <font>
      <b/>
      <i/>
      <sz val="16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FF33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2"/>
      <color theme="0"/>
      <name val="Calibri"/>
      <family val="2"/>
      <scheme val="minor"/>
    </font>
  </fonts>
  <fills count="31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gradientFill type="path">
        <stop position="0">
          <color rgb="FF00FFFF"/>
        </stop>
        <stop position="1">
          <color rgb="FFFFFF00"/>
        </stop>
      </gradientFill>
    </fill>
    <fill>
      <patternFill patternType="solid">
        <fgColor rgb="FFFFFF9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theme="0"/>
      </patternFill>
    </fill>
    <fill>
      <patternFill patternType="solid">
        <fgColor rgb="FFFFFF99"/>
        <bgColor auto="1"/>
      </patternFill>
    </fill>
    <fill>
      <patternFill patternType="solid">
        <fgColor theme="0"/>
        <bgColor theme="4"/>
      </patternFill>
    </fill>
    <fill>
      <patternFill patternType="solid">
        <fgColor theme="0"/>
        <bgColor auto="1"/>
      </patternFill>
    </fill>
  </fills>
  <borders count="3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</borders>
  <cellStyleXfs count="5">
    <xf numFmtId="0" fontId="0" fillId="0" borderId="0"/>
    <xf numFmtId="9" fontId="7" fillId="0" borderId="0" applyFont="0" applyFill="0" applyBorder="0" applyAlignment="0" applyProtection="0"/>
    <xf numFmtId="0" fontId="12" fillId="0" borderId="0" applyNumberFormat="0" applyFill="0" applyBorder="0" applyAlignment="0" applyProtection="0"/>
    <xf numFmtId="0" fontId="29" fillId="21" borderId="0" applyNumberFormat="0" applyBorder="0" applyAlignment="0" applyProtection="0"/>
    <xf numFmtId="0" fontId="30" fillId="22" borderId="0" applyNumberFormat="0" applyBorder="0" applyAlignment="0" applyProtection="0"/>
  </cellStyleXfs>
  <cellXfs count="251">
    <xf numFmtId="0" fontId="0" fillId="0" borderId="0" xfId="0"/>
    <xf numFmtId="2" fontId="0" fillId="0" borderId="0" xfId="0" applyNumberFormat="1"/>
    <xf numFmtId="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0" fillId="2" borderId="1" xfId="0" applyFill="1" applyBorder="1" applyAlignment="1">
      <alignment horizontal="center" vertical="center"/>
    </xf>
    <xf numFmtId="1" fontId="0" fillId="10" borderId="1" xfId="0" applyNumberFormat="1" applyFill="1" applyBorder="1" applyAlignment="1">
      <alignment horizontal="center"/>
    </xf>
    <xf numFmtId="1" fontId="0" fillId="11" borderId="1" xfId="0" applyNumberFormat="1" applyFill="1" applyBorder="1" applyAlignment="1">
      <alignment horizontal="center"/>
    </xf>
    <xf numFmtId="1" fontId="0" fillId="12" borderId="1" xfId="0" applyNumberFormat="1" applyFill="1" applyBorder="1" applyAlignment="1">
      <alignment horizontal="center"/>
    </xf>
    <xf numFmtId="1" fontId="0" fillId="14" borderId="1" xfId="0" applyNumberFormat="1" applyFill="1" applyBorder="1" applyAlignment="1">
      <alignment horizontal="center"/>
    </xf>
    <xf numFmtId="1" fontId="0" fillId="13" borderId="1" xfId="0" applyNumberFormat="1" applyFill="1" applyBorder="1" applyAlignment="1">
      <alignment horizontal="center"/>
    </xf>
    <xf numFmtId="1" fontId="0" fillId="2" borderId="1" xfId="0" applyNumberFormat="1" applyFill="1" applyBorder="1" applyAlignment="1">
      <alignment horizontal="center" vertical="center"/>
    </xf>
    <xf numFmtId="0" fontId="1" fillId="0" borderId="0" xfId="0" applyFont="1"/>
    <xf numFmtId="0" fontId="10" fillId="9" borderId="5" xfId="0" applyFont="1" applyFill="1" applyBorder="1" applyAlignment="1">
      <alignment horizontal="center" vertical="center" wrapText="1"/>
    </xf>
    <xf numFmtId="164" fontId="11" fillId="0" borderId="5" xfId="0" applyNumberFormat="1" applyFont="1" applyBorder="1" applyAlignment="1">
      <alignment vertical="center" wrapText="1"/>
    </xf>
    <xf numFmtId="0" fontId="13" fillId="0" borderId="0" xfId="2" applyFont="1" applyAlignment="1"/>
    <xf numFmtId="164" fontId="0" fillId="0" borderId="0" xfId="0" applyNumberFormat="1"/>
    <xf numFmtId="0" fontId="0" fillId="0" borderId="0" xfId="0" applyAlignment="1">
      <alignment vertical="center"/>
    </xf>
    <xf numFmtId="2" fontId="0" fillId="0" borderId="0" xfId="0" applyNumberFormat="1" applyAlignment="1">
      <alignment horizontal="right" vertical="center" indent="1"/>
    </xf>
    <xf numFmtId="0" fontId="0" fillId="0" borderId="0" xfId="0" applyAlignment="1">
      <alignment horizontal="center" vertical="center"/>
    </xf>
    <xf numFmtId="2" fontId="4" fillId="8" borderId="1" xfId="0" applyNumberFormat="1" applyFont="1" applyFill="1" applyBorder="1" applyAlignment="1">
      <alignment vertical="center"/>
    </xf>
    <xf numFmtId="0" fontId="0" fillId="15" borderId="1" xfId="0" applyFill="1" applyBorder="1" applyAlignment="1">
      <alignment vertical="center"/>
    </xf>
    <xf numFmtId="0" fontId="16" fillId="15" borderId="1" xfId="0" applyFont="1" applyFill="1" applyBorder="1" applyAlignment="1">
      <alignment horizontal="left" vertical="center"/>
    </xf>
    <xf numFmtId="0" fontId="4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2" fontId="0" fillId="0" borderId="0" xfId="0" applyNumberFormat="1" applyAlignment="1">
      <alignment vertical="center"/>
    </xf>
    <xf numFmtId="0" fontId="3" fillId="15" borderId="1" xfId="0" applyFont="1" applyFill="1" applyBorder="1" applyAlignment="1">
      <alignment vertical="center"/>
    </xf>
    <xf numFmtId="165" fontId="7" fillId="15" borderId="6" xfId="1" applyNumberFormat="1" applyFont="1" applyFill="1" applyBorder="1" applyAlignment="1" applyProtection="1">
      <alignment horizontal="center" vertical="center"/>
    </xf>
    <xf numFmtId="0" fontId="19" fillId="0" borderId="4" xfId="0" applyFont="1" applyBorder="1" applyAlignment="1" applyProtection="1">
      <alignment horizontal="left" indent="1"/>
      <protection locked="0"/>
    </xf>
    <xf numFmtId="0" fontId="0" fillId="19" borderId="0" xfId="0" applyFill="1"/>
    <xf numFmtId="0" fontId="0" fillId="0" borderId="4" xfId="0" applyBorder="1"/>
    <xf numFmtId="0" fontId="0" fillId="0" borderId="0" xfId="0" applyAlignment="1">
      <alignment horizontal="left" indent="1"/>
    </xf>
    <xf numFmtId="2" fontId="0" fillId="0" borderId="0" xfId="0" applyNumberFormat="1" applyAlignment="1">
      <alignment horizontal="center"/>
    </xf>
    <xf numFmtId="0" fontId="0" fillId="20" borderId="0" xfId="0" applyFill="1"/>
    <xf numFmtId="0" fontId="1" fillId="0" borderId="0" xfId="0" applyFont="1" applyAlignment="1">
      <alignment horizontal="left" indent="1"/>
    </xf>
    <xf numFmtId="0" fontId="1" fillId="0" borderId="0" xfId="0" applyFont="1" applyAlignment="1">
      <alignment horizontal="left"/>
    </xf>
    <xf numFmtId="0" fontId="16" fillId="3" borderId="1" xfId="0" applyFont="1" applyFill="1" applyBorder="1" applyAlignment="1">
      <alignment horizontal="center" vertical="center"/>
    </xf>
    <xf numFmtId="2" fontId="16" fillId="3" borderId="1" xfId="0" applyNumberFormat="1" applyFont="1" applyFill="1" applyBorder="1" applyAlignment="1">
      <alignment horizontal="center" vertical="center"/>
    </xf>
    <xf numFmtId="0" fontId="22" fillId="0" borderId="0" xfId="0" applyFont="1" applyAlignment="1">
      <alignment vertical="center"/>
    </xf>
    <xf numFmtId="0" fontId="23" fillId="0" borderId="0" xfId="0" applyFont="1"/>
    <xf numFmtId="0" fontId="0" fillId="17" borderId="1" xfId="0" applyFill="1" applyBorder="1" applyAlignment="1">
      <alignment vertical="center" wrapText="1"/>
    </xf>
    <xf numFmtId="0" fontId="0" fillId="0" borderId="0" xfId="0" applyAlignment="1">
      <alignment vertical="center" wrapText="1"/>
    </xf>
    <xf numFmtId="0" fontId="0" fillId="16" borderId="1" xfId="0" applyFill="1" applyBorder="1" applyAlignment="1">
      <alignment vertical="center" wrapText="1"/>
    </xf>
    <xf numFmtId="0" fontId="4" fillId="0" borderId="0" xfId="0" applyFont="1" applyAlignment="1">
      <alignment vertical="center" wrapText="1"/>
    </xf>
    <xf numFmtId="0" fontId="16" fillId="3" borderId="1" xfId="0" applyFont="1" applyFill="1" applyBorder="1" applyAlignment="1">
      <alignment horizontal="center" vertical="center" wrapText="1"/>
    </xf>
    <xf numFmtId="0" fontId="27" fillId="0" borderId="0" xfId="0" applyFont="1"/>
    <xf numFmtId="2" fontId="28" fillId="0" borderId="0" xfId="0" applyNumberFormat="1" applyFont="1" applyAlignment="1">
      <alignment horizontal="center"/>
    </xf>
    <xf numFmtId="2" fontId="0" fillId="0" borderId="1" xfId="0" applyNumberFormat="1" applyBorder="1" applyAlignment="1">
      <alignment horizontal="center"/>
    </xf>
    <xf numFmtId="0" fontId="19" fillId="0" borderId="0" xfId="0" applyFont="1" applyAlignment="1" applyProtection="1">
      <alignment horizontal="left"/>
      <protection locked="0"/>
    </xf>
    <xf numFmtId="0" fontId="19" fillId="0" borderId="0" xfId="0" applyFont="1" applyAlignment="1" applyProtection="1">
      <alignment horizontal="center"/>
      <protection locked="0"/>
    </xf>
    <xf numFmtId="0" fontId="0" fillId="15" borderId="1" xfId="0" applyFill="1" applyBorder="1" applyAlignment="1">
      <alignment horizontal="left" vertical="center"/>
    </xf>
    <xf numFmtId="0" fontId="1" fillId="0" borderId="1" xfId="0" applyFont="1" applyBorder="1"/>
    <xf numFmtId="49" fontId="1" fillId="0" borderId="0" xfId="0" applyNumberFormat="1" applyFont="1" applyAlignment="1">
      <alignment horizontal="center"/>
    </xf>
    <xf numFmtId="2" fontId="4" fillId="26" borderId="0" xfId="0" applyNumberFormat="1" applyFont="1" applyFill="1" applyAlignment="1">
      <alignment vertical="center"/>
    </xf>
    <xf numFmtId="0" fontId="30" fillId="27" borderId="0" xfId="4" applyFill="1" applyBorder="1" applyAlignment="1" applyProtection="1">
      <alignment vertical="center"/>
    </xf>
    <xf numFmtId="0" fontId="0" fillId="30" borderId="0" xfId="0" applyFill="1" applyAlignment="1">
      <alignment vertical="center" wrapText="1"/>
    </xf>
    <xf numFmtId="2" fontId="0" fillId="26" borderId="0" xfId="0" applyNumberFormat="1" applyFill="1" applyAlignment="1">
      <alignment horizontal="right" vertical="center" indent="1"/>
    </xf>
    <xf numFmtId="0" fontId="0" fillId="26" borderId="0" xfId="0" applyFill="1" applyAlignment="1">
      <alignment vertical="center"/>
    </xf>
    <xf numFmtId="0" fontId="0" fillId="26" borderId="0" xfId="0" applyFill="1" applyAlignment="1">
      <alignment horizontal="center" vertical="center"/>
    </xf>
    <xf numFmtId="0" fontId="0" fillId="15" borderId="15" xfId="0" applyFill="1" applyBorder="1" applyAlignment="1">
      <alignment horizontal="left" vertical="center"/>
    </xf>
    <xf numFmtId="165" fontId="7" fillId="15" borderId="16" xfId="1" applyNumberFormat="1" applyFont="1" applyFill="1" applyBorder="1" applyAlignment="1" applyProtection="1">
      <alignment horizontal="center" vertical="center"/>
    </xf>
    <xf numFmtId="0" fontId="30" fillId="22" borderId="1" xfId="4" applyBorder="1" applyAlignment="1" applyProtection="1">
      <alignment vertical="center"/>
    </xf>
    <xf numFmtId="0" fontId="0" fillId="0" borderId="9" xfId="0" applyBorder="1" applyAlignment="1">
      <alignment vertical="center"/>
    </xf>
    <xf numFmtId="0" fontId="0" fillId="0" borderId="1" xfId="0" applyBorder="1" applyAlignment="1">
      <alignment vertical="center" wrapText="1"/>
    </xf>
    <xf numFmtId="0" fontId="32" fillId="0" borderId="0" xfId="0" applyFont="1" applyAlignment="1">
      <alignment horizontal="left" vertical="center"/>
    </xf>
    <xf numFmtId="2" fontId="4" fillId="0" borderId="0" xfId="0" applyNumberFormat="1" applyFont="1" applyAlignment="1">
      <alignment vertical="center"/>
    </xf>
    <xf numFmtId="2" fontId="4" fillId="0" borderId="1" xfId="0" applyNumberFormat="1" applyFont="1" applyBorder="1" applyAlignment="1">
      <alignment horizontal="left" vertical="center"/>
    </xf>
    <xf numFmtId="2" fontId="4" fillId="0" borderId="1" xfId="0" applyNumberFormat="1" applyFont="1" applyBorder="1" applyAlignment="1">
      <alignment vertical="center"/>
    </xf>
    <xf numFmtId="0" fontId="30" fillId="0" borderId="1" xfId="4" applyFill="1" applyBorder="1" applyAlignment="1" applyProtection="1">
      <alignment vertical="center"/>
    </xf>
    <xf numFmtId="0" fontId="0" fillId="0" borderId="14" xfId="0" applyBorder="1" applyAlignment="1">
      <alignment vertical="center"/>
    </xf>
    <xf numFmtId="0" fontId="0" fillId="0" borderId="15" xfId="0" applyBorder="1" applyAlignment="1">
      <alignment vertical="center" wrapText="1"/>
    </xf>
    <xf numFmtId="0" fontId="0" fillId="0" borderId="12" xfId="0" applyBorder="1" applyAlignment="1">
      <alignment vertical="center" wrapText="1"/>
    </xf>
    <xf numFmtId="0" fontId="0" fillId="15" borderId="23" xfId="0" applyFill="1" applyBorder="1" applyAlignment="1">
      <alignment horizontal="left" vertical="center"/>
    </xf>
    <xf numFmtId="165" fontId="16" fillId="15" borderId="6" xfId="1" applyNumberFormat="1" applyFont="1" applyFill="1" applyBorder="1" applyAlignment="1" applyProtection="1">
      <alignment horizontal="center" vertical="center"/>
    </xf>
    <xf numFmtId="0" fontId="16" fillId="15" borderId="15" xfId="0" applyFont="1" applyFill="1" applyBorder="1" applyAlignment="1">
      <alignment horizontal="left" vertical="center"/>
    </xf>
    <xf numFmtId="165" fontId="16" fillId="15" borderId="16" xfId="1" applyNumberFormat="1" applyFont="1" applyFill="1" applyBorder="1" applyAlignment="1" applyProtection="1">
      <alignment horizontal="center" vertical="center"/>
    </xf>
    <xf numFmtId="0" fontId="36" fillId="18" borderId="26" xfId="0" applyFont="1" applyFill="1" applyBorder="1" applyAlignment="1">
      <alignment horizontal="center" vertical="center"/>
    </xf>
    <xf numFmtId="0" fontId="36" fillId="18" borderId="27" xfId="0" applyFont="1" applyFill="1" applyBorder="1" applyAlignment="1">
      <alignment horizontal="center" vertical="center" wrapText="1"/>
    </xf>
    <xf numFmtId="0" fontId="36" fillId="18" borderId="28" xfId="0" applyFont="1" applyFill="1" applyBorder="1" applyAlignment="1">
      <alignment horizontal="center" vertical="center"/>
    </xf>
    <xf numFmtId="0" fontId="16" fillId="15" borderId="12" xfId="0" applyFont="1" applyFill="1" applyBorder="1" applyAlignment="1">
      <alignment horizontal="left" vertical="center"/>
    </xf>
    <xf numFmtId="2" fontId="15" fillId="18" borderId="27" xfId="0" applyNumberFormat="1" applyFont="1" applyFill="1" applyBorder="1" applyAlignment="1">
      <alignment horizontal="right" vertical="center" wrapText="1" indent="1"/>
    </xf>
    <xf numFmtId="0" fontId="15" fillId="18" borderId="27" xfId="0" applyFont="1" applyFill="1" applyBorder="1" applyAlignment="1">
      <alignment vertical="center" wrapText="1"/>
    </xf>
    <xf numFmtId="0" fontId="15" fillId="18" borderId="28" xfId="0" applyFont="1" applyFill="1" applyBorder="1" applyAlignment="1">
      <alignment horizontal="center" vertical="center" wrapText="1"/>
    </xf>
    <xf numFmtId="0" fontId="0" fillId="15" borderId="12" xfId="0" applyFill="1" applyBorder="1" applyAlignment="1">
      <alignment vertical="center"/>
    </xf>
    <xf numFmtId="0" fontId="0" fillId="15" borderId="15" xfId="0" applyFill="1" applyBorder="1" applyAlignment="1">
      <alignment vertical="center"/>
    </xf>
    <xf numFmtId="0" fontId="8" fillId="6" borderId="25" xfId="0" applyFont="1" applyFill="1" applyBorder="1" applyAlignment="1">
      <alignment horizontal="center" vertical="center"/>
    </xf>
    <xf numFmtId="0" fontId="8" fillId="6" borderId="12" xfId="0" applyFont="1" applyFill="1" applyBorder="1" applyAlignment="1">
      <alignment horizontal="center" vertical="center" wrapText="1"/>
    </xf>
    <xf numFmtId="2" fontId="8" fillId="6" borderId="12" xfId="0" applyNumberFormat="1" applyFont="1" applyFill="1" applyBorder="1" applyAlignment="1">
      <alignment horizontal="right" vertical="center" indent="1"/>
    </xf>
    <xf numFmtId="0" fontId="8" fillId="6" borderId="12" xfId="0" applyFont="1" applyFill="1" applyBorder="1" applyAlignment="1">
      <alignment horizontal="left" vertical="center"/>
    </xf>
    <xf numFmtId="0" fontId="8" fillId="6" borderId="13" xfId="0" applyFont="1" applyFill="1" applyBorder="1" applyAlignment="1">
      <alignment horizontal="center" vertical="center"/>
    </xf>
    <xf numFmtId="2" fontId="34" fillId="0" borderId="0" xfId="0" applyNumberFormat="1" applyFont="1" applyAlignment="1">
      <alignment vertical="center"/>
    </xf>
    <xf numFmtId="0" fontId="0" fillId="0" borderId="25" xfId="0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0" fillId="0" borderId="14" xfId="0" applyBorder="1" applyAlignment="1">
      <alignment horizontal="left" vertical="center"/>
    </xf>
    <xf numFmtId="0" fontId="0" fillId="0" borderId="22" xfId="0" applyBorder="1" applyAlignment="1">
      <alignment horizontal="left" vertical="center"/>
    </xf>
    <xf numFmtId="0" fontId="0" fillId="0" borderId="12" xfId="0" applyBorder="1" applyAlignment="1">
      <alignment horizontal="left" vertical="center" wrapText="1"/>
    </xf>
    <xf numFmtId="0" fontId="0" fillId="0" borderId="1" xfId="0" applyBorder="1" applyAlignment="1">
      <alignment horizontal="left" vertical="center" wrapText="1"/>
    </xf>
    <xf numFmtId="0" fontId="12" fillId="0" borderId="1" xfId="2" applyFill="1" applyBorder="1" applyAlignment="1" applyProtection="1">
      <alignment horizontal="left" vertical="center" wrapText="1"/>
    </xf>
    <xf numFmtId="0" fontId="0" fillId="0" borderId="15" xfId="0" applyBorder="1" applyAlignment="1">
      <alignment horizontal="left" vertical="center" wrapText="1"/>
    </xf>
    <xf numFmtId="0" fontId="0" fillId="0" borderId="23" xfId="0" applyBorder="1" applyAlignment="1">
      <alignment horizontal="left" vertical="center" wrapText="1"/>
    </xf>
    <xf numFmtId="0" fontId="0" fillId="17" borderId="23" xfId="0" applyFill="1" applyBorder="1" applyAlignment="1">
      <alignment horizontal="right" vertical="center" wrapText="1"/>
    </xf>
    <xf numFmtId="0" fontId="16" fillId="15" borderId="3" xfId="0" applyFont="1" applyFill="1" applyBorder="1" applyAlignment="1">
      <alignment horizontal="left" vertical="center"/>
    </xf>
    <xf numFmtId="0" fontId="16" fillId="15" borderId="13" xfId="0" applyFont="1" applyFill="1" applyBorder="1" applyAlignment="1">
      <alignment horizontal="center" vertical="center"/>
    </xf>
    <xf numFmtId="0" fontId="16" fillId="15" borderId="12" xfId="0" applyFont="1" applyFill="1" applyBorder="1" applyAlignment="1">
      <alignment vertical="center" wrapText="1"/>
    </xf>
    <xf numFmtId="0" fontId="15" fillId="15" borderId="12" xfId="0" applyFont="1" applyFill="1" applyBorder="1" applyAlignment="1">
      <alignment vertical="center" wrapText="1"/>
    </xf>
    <xf numFmtId="0" fontId="15" fillId="15" borderId="1" xfId="0" applyFont="1" applyFill="1" applyBorder="1" applyAlignment="1">
      <alignment vertical="center" wrapText="1"/>
    </xf>
    <xf numFmtId="0" fontId="15" fillId="15" borderId="13" xfId="0" applyFont="1" applyFill="1" applyBorder="1" applyAlignment="1">
      <alignment horizontal="center" vertical="center" wrapText="1"/>
    </xf>
    <xf numFmtId="0" fontId="15" fillId="15" borderId="6" xfId="0" applyFont="1" applyFill="1" applyBorder="1" applyAlignment="1">
      <alignment horizontal="center" vertical="center" wrapText="1"/>
    </xf>
    <xf numFmtId="165" fontId="0" fillId="15" borderId="6" xfId="1" applyNumberFormat="1" applyFont="1" applyFill="1" applyBorder="1" applyAlignment="1" applyProtection="1">
      <alignment horizontal="center" vertical="center"/>
    </xf>
    <xf numFmtId="2" fontId="16" fillId="15" borderId="1" xfId="0" applyNumberFormat="1" applyFont="1" applyFill="1" applyBorder="1" applyAlignment="1">
      <alignment horizontal="right" vertical="center" indent="1"/>
    </xf>
    <xf numFmtId="0" fontId="0" fillId="0" borderId="2" xfId="0" applyBorder="1" applyAlignment="1">
      <alignment horizontal="left" vertical="center"/>
    </xf>
    <xf numFmtId="0" fontId="0" fillId="0" borderId="3" xfId="0" applyBorder="1" applyAlignment="1">
      <alignment horizontal="left" vertical="center" wrapText="1"/>
    </xf>
    <xf numFmtId="164" fontId="16" fillId="5" borderId="1" xfId="0" applyNumberFormat="1" applyFont="1" applyFill="1" applyBorder="1" applyAlignment="1">
      <alignment vertical="center"/>
    </xf>
    <xf numFmtId="2" fontId="16" fillId="2" borderId="1" xfId="0" applyNumberFormat="1" applyFont="1" applyFill="1" applyBorder="1" applyAlignment="1">
      <alignment vertical="center"/>
    </xf>
    <xf numFmtId="2" fontId="16" fillId="5" borderId="1" xfId="0" applyNumberFormat="1" applyFont="1" applyFill="1" applyBorder="1" applyAlignment="1">
      <alignment vertical="center"/>
    </xf>
    <xf numFmtId="2" fontId="16" fillId="5" borderId="15" xfId="0" applyNumberFormat="1" applyFont="1" applyFill="1" applyBorder="1" applyAlignment="1">
      <alignment vertical="center"/>
    </xf>
    <xf numFmtId="165" fontId="0" fillId="15" borderId="13" xfId="1" applyNumberFormat="1" applyFont="1" applyFill="1" applyBorder="1" applyAlignment="1" applyProtection="1">
      <alignment horizontal="center" vertical="center"/>
    </xf>
    <xf numFmtId="2" fontId="16" fillId="5" borderId="12" xfId="0" applyNumberFormat="1" applyFont="1" applyFill="1" applyBorder="1" applyAlignment="1">
      <alignment vertical="center"/>
    </xf>
    <xf numFmtId="164" fontId="16" fillId="5" borderId="15" xfId="0" applyNumberFormat="1" applyFont="1" applyFill="1" applyBorder="1" applyAlignment="1">
      <alignment vertical="center"/>
    </xf>
    <xf numFmtId="2" fontId="36" fillId="5" borderId="1" xfId="0" applyNumberFormat="1" applyFont="1" applyFill="1" applyBorder="1" applyAlignment="1">
      <alignment horizontal="center" vertical="center"/>
    </xf>
    <xf numFmtId="165" fontId="7" fillId="7" borderId="6" xfId="1" applyNumberFormat="1" applyFont="1" applyFill="1" applyBorder="1" applyAlignment="1" applyProtection="1">
      <alignment horizontal="center" vertical="center"/>
    </xf>
    <xf numFmtId="2" fontId="4" fillId="7" borderId="1" xfId="0" applyNumberFormat="1" applyFont="1" applyFill="1" applyBorder="1" applyAlignment="1">
      <alignment horizontal="left" vertical="center"/>
    </xf>
    <xf numFmtId="2" fontId="16" fillId="7" borderId="1" xfId="0" applyNumberFormat="1" applyFont="1" applyFill="1" applyBorder="1" applyAlignment="1">
      <alignment horizontal="right" vertical="center"/>
    </xf>
    <xf numFmtId="2" fontId="16" fillId="7" borderId="12" xfId="0" applyNumberFormat="1" applyFont="1" applyFill="1" applyBorder="1" applyAlignment="1">
      <alignment vertical="center" wrapText="1"/>
    </xf>
    <xf numFmtId="2" fontId="16" fillId="7" borderId="1" xfId="0" applyNumberFormat="1" applyFont="1" applyFill="1" applyBorder="1" applyAlignment="1">
      <alignment vertical="center" wrapText="1"/>
    </xf>
    <xf numFmtId="165" fontId="14" fillId="7" borderId="6" xfId="1" applyNumberFormat="1" applyFont="1" applyFill="1" applyBorder="1" applyAlignment="1" applyProtection="1">
      <alignment horizontal="center" vertical="center"/>
    </xf>
    <xf numFmtId="2" fontId="0" fillId="0" borderId="0" xfId="0" applyNumberFormat="1" applyAlignment="1">
      <alignment horizontal="center" vertical="center"/>
    </xf>
    <xf numFmtId="165" fontId="16" fillId="7" borderId="6" xfId="1" applyNumberFormat="1" applyFont="1" applyFill="1" applyBorder="1" applyAlignment="1" applyProtection="1">
      <alignment horizontal="center" vertical="center"/>
    </xf>
    <xf numFmtId="165" fontId="7" fillId="7" borderId="16" xfId="1" applyNumberFormat="1" applyFont="1" applyFill="1" applyBorder="1" applyAlignment="1" applyProtection="1">
      <alignment horizontal="center" vertical="center"/>
    </xf>
    <xf numFmtId="165" fontId="7" fillId="7" borderId="1" xfId="1" applyNumberFormat="1" applyFont="1" applyFill="1" applyBorder="1" applyAlignment="1" applyProtection="1">
      <alignment horizontal="center" vertical="center"/>
    </xf>
    <xf numFmtId="165" fontId="3" fillId="7" borderId="1" xfId="1" applyNumberFormat="1" applyFont="1" applyFill="1" applyBorder="1" applyAlignment="1" applyProtection="1">
      <alignment horizontal="center" vertical="center"/>
    </xf>
    <xf numFmtId="0" fontId="0" fillId="0" borderId="1" xfId="0" applyBorder="1" applyAlignment="1">
      <alignment horizontal="left" vertical="center"/>
    </xf>
    <xf numFmtId="164" fontId="14" fillId="7" borderId="1" xfId="0" applyNumberFormat="1" applyFont="1" applyFill="1" applyBorder="1" applyAlignment="1">
      <alignment vertical="center"/>
    </xf>
    <xf numFmtId="1" fontId="14" fillId="7" borderId="1" xfId="0" applyNumberFormat="1" applyFont="1" applyFill="1" applyBorder="1" applyAlignment="1">
      <alignment vertical="center"/>
    </xf>
    <xf numFmtId="2" fontId="14" fillId="7" borderId="1" xfId="0" applyNumberFormat="1" applyFont="1" applyFill="1" applyBorder="1" applyAlignment="1">
      <alignment vertical="center"/>
    </xf>
    <xf numFmtId="2" fontId="18" fillId="0" borderId="0" xfId="0" applyNumberFormat="1" applyFont="1" applyAlignment="1">
      <alignment vertical="center"/>
    </xf>
    <xf numFmtId="0" fontId="0" fillId="0" borderId="8" xfId="0" applyBorder="1" applyAlignment="1">
      <alignment vertical="center" wrapText="1"/>
    </xf>
    <xf numFmtId="0" fontId="16" fillId="15" borderId="8" xfId="0" applyFont="1" applyFill="1" applyBorder="1" applyAlignment="1">
      <alignment horizontal="left" vertical="center"/>
    </xf>
    <xf numFmtId="2" fontId="19" fillId="0" borderId="0" xfId="0" applyNumberFormat="1" applyFont="1" applyAlignment="1">
      <alignment vertical="top" wrapText="1"/>
    </xf>
    <xf numFmtId="2" fontId="36" fillId="18" borderId="27" xfId="0" applyNumberFormat="1" applyFont="1" applyFill="1" applyBorder="1" applyAlignment="1">
      <alignment horizontal="center" vertical="center"/>
    </xf>
    <xf numFmtId="0" fontId="36" fillId="18" borderId="27" xfId="0" applyFont="1" applyFill="1" applyBorder="1" applyAlignment="1">
      <alignment horizontal="center" vertical="center"/>
    </xf>
    <xf numFmtId="165" fontId="7" fillId="17" borderId="6" xfId="1" applyNumberFormat="1" applyFont="1" applyFill="1" applyBorder="1" applyAlignment="1" applyProtection="1">
      <alignment horizontal="center" vertical="center"/>
      <protection locked="0"/>
    </xf>
    <xf numFmtId="2" fontId="16" fillId="17" borderId="1" xfId="0" applyNumberFormat="1" applyFont="1" applyFill="1" applyBorder="1" applyAlignment="1" applyProtection="1">
      <alignment horizontal="right" vertical="center"/>
      <protection locked="0"/>
    </xf>
    <xf numFmtId="0" fontId="31" fillId="23" borderId="1" xfId="0" applyFont="1" applyFill="1" applyBorder="1" applyAlignment="1">
      <alignment horizontal="center" vertical="center" wrapText="1"/>
    </xf>
    <xf numFmtId="0" fontId="1" fillId="24" borderId="1" xfId="0" applyFont="1" applyFill="1" applyBorder="1" applyAlignment="1">
      <alignment horizontal="center" vertical="center"/>
    </xf>
    <xf numFmtId="0" fontId="0" fillId="24" borderId="1" xfId="0" applyFill="1" applyBorder="1" applyAlignment="1">
      <alignment horizontal="center" vertical="center"/>
    </xf>
    <xf numFmtId="0" fontId="1" fillId="4" borderId="1" xfId="0" applyFont="1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31" fillId="29" borderId="0" xfId="0" applyFont="1" applyFill="1" applyAlignment="1">
      <alignment horizontal="center" wrapText="1"/>
    </xf>
    <xf numFmtId="0" fontId="1" fillId="0" borderId="0" xfId="0" applyFont="1" applyAlignment="1">
      <alignment horizontal="center" vertical="center"/>
    </xf>
    <xf numFmtId="0" fontId="0" fillId="25" borderId="0" xfId="0" applyFill="1" applyAlignment="1">
      <alignment horizontal="center"/>
    </xf>
    <xf numFmtId="0" fontId="0" fillId="26" borderId="0" xfId="0" applyFill="1" applyAlignment="1">
      <alignment horizontal="center"/>
    </xf>
    <xf numFmtId="0" fontId="29" fillId="27" borderId="0" xfId="3" applyFill="1" applyBorder="1" applyAlignment="1" applyProtection="1">
      <alignment horizontal="center"/>
    </xf>
    <xf numFmtId="0" fontId="1" fillId="26" borderId="0" xfId="0" applyFont="1" applyFill="1" applyAlignment="1">
      <alignment horizontal="center"/>
    </xf>
    <xf numFmtId="0" fontId="1" fillId="26" borderId="1" xfId="0" applyFont="1" applyFill="1" applyBorder="1" applyAlignment="1">
      <alignment horizontal="center"/>
    </xf>
    <xf numFmtId="0" fontId="0" fillId="25" borderId="1" xfId="0" applyFill="1" applyBorder="1" applyAlignment="1">
      <alignment horizontal="center"/>
    </xf>
    <xf numFmtId="0" fontId="0" fillId="26" borderId="1" xfId="0" applyFill="1" applyBorder="1" applyAlignment="1">
      <alignment horizontal="center"/>
    </xf>
    <xf numFmtId="0" fontId="1" fillId="25" borderId="1" xfId="0" applyFont="1" applyFill="1" applyBorder="1" applyAlignment="1">
      <alignment horizontal="center"/>
    </xf>
    <xf numFmtId="0" fontId="1" fillId="25" borderId="0" xfId="0" applyFont="1" applyFill="1" applyAlignment="1">
      <alignment horizontal="center"/>
    </xf>
    <xf numFmtId="0" fontId="0" fillId="25" borderId="0" xfId="0" applyFill="1" applyAlignment="1">
      <alignment horizontal="center" vertical="center"/>
    </xf>
    <xf numFmtId="2" fontId="15" fillId="18" borderId="19" xfId="0" applyNumberFormat="1" applyFont="1" applyFill="1" applyBorder="1" applyAlignment="1">
      <alignment horizontal="right" vertical="center" wrapText="1" indent="1"/>
    </xf>
    <xf numFmtId="0" fontId="15" fillId="18" borderId="19" xfId="0" applyFont="1" applyFill="1" applyBorder="1" applyAlignment="1">
      <alignment vertical="center" wrapText="1"/>
    </xf>
    <xf numFmtId="0" fontId="15" fillId="18" borderId="20" xfId="0" applyFont="1" applyFill="1" applyBorder="1" applyAlignment="1">
      <alignment horizontal="center" vertical="center" wrapText="1"/>
    </xf>
    <xf numFmtId="0" fontId="16" fillId="5" borderId="15" xfId="0" applyFont="1" applyFill="1" applyBorder="1" applyAlignment="1">
      <alignment horizontal="right" vertical="center"/>
    </xf>
    <xf numFmtId="2" fontId="0" fillId="0" borderId="1" xfId="0" applyNumberFormat="1" applyBorder="1" applyAlignment="1">
      <alignment horizontal="left" vertical="center"/>
    </xf>
    <xf numFmtId="2" fontId="20" fillId="0" borderId="1" xfId="0" applyNumberFormat="1" applyFont="1" applyBorder="1" applyAlignment="1">
      <alignment horizontal="left" vertical="center"/>
    </xf>
    <xf numFmtId="1" fontId="0" fillId="0" borderId="0" xfId="0" applyNumberFormat="1" applyAlignment="1">
      <alignment vertical="center"/>
    </xf>
    <xf numFmtId="0" fontId="17" fillId="0" borderId="0" xfId="0" applyFont="1" applyAlignment="1">
      <alignment vertical="center"/>
    </xf>
    <xf numFmtId="2" fontId="14" fillId="15" borderId="1" xfId="0" applyNumberFormat="1" applyFont="1" applyFill="1" applyBorder="1" applyAlignment="1">
      <alignment horizontal="right" vertical="center" indent="1"/>
    </xf>
    <xf numFmtId="165" fontId="14" fillId="15" borderId="6" xfId="1" applyNumberFormat="1" applyFont="1" applyFill="1" applyBorder="1" applyAlignment="1" applyProtection="1">
      <alignment horizontal="center" vertical="center"/>
    </xf>
    <xf numFmtId="0" fontId="0" fillId="0" borderId="0" xfId="0" applyAlignment="1">
      <alignment horizontal="right" vertical="center"/>
    </xf>
    <xf numFmtId="0" fontId="2" fillId="0" borderId="0" xfId="0" applyFont="1" applyAlignment="1">
      <alignment vertical="center"/>
    </xf>
    <xf numFmtId="164" fontId="0" fillId="0" borderId="1" xfId="0" applyNumberFormat="1" applyBorder="1" applyAlignment="1">
      <alignment horizontal="left" vertical="center"/>
    </xf>
    <xf numFmtId="0" fontId="0" fillId="0" borderId="24" xfId="0" applyBorder="1" applyAlignment="1">
      <alignment horizontal="left" vertical="center"/>
    </xf>
    <xf numFmtId="0" fontId="2" fillId="0" borderId="8" xfId="0" applyFont="1" applyBorder="1" applyAlignment="1">
      <alignment horizontal="left" vertical="center" wrapText="1"/>
    </xf>
    <xf numFmtId="2" fontId="16" fillId="5" borderId="8" xfId="0" applyNumberFormat="1" applyFont="1" applyFill="1" applyBorder="1" applyAlignment="1">
      <alignment vertical="center"/>
    </xf>
    <xf numFmtId="0" fontId="14" fillId="15" borderId="8" xfId="0" applyFont="1" applyFill="1" applyBorder="1" applyAlignment="1">
      <alignment horizontal="left" vertical="center"/>
    </xf>
    <xf numFmtId="165" fontId="14" fillId="7" borderId="10" xfId="1" applyNumberFormat="1" applyFont="1" applyFill="1" applyBorder="1" applyAlignment="1" applyProtection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2" fontId="20" fillId="0" borderId="1" xfId="0" applyNumberFormat="1" applyFont="1" applyBorder="1" applyAlignment="1">
      <alignment horizontal="left" vertical="center" wrapText="1"/>
    </xf>
    <xf numFmtId="2" fontId="20" fillId="0" borderId="0" xfId="0" applyNumberFormat="1" applyFont="1" applyAlignment="1">
      <alignment vertical="center" wrapText="1"/>
    </xf>
    <xf numFmtId="0" fontId="17" fillId="0" borderId="0" xfId="0" applyFont="1" applyAlignment="1">
      <alignment horizontal="center" vertical="center"/>
    </xf>
    <xf numFmtId="2" fontId="24" fillId="0" borderId="0" xfId="0" applyNumberFormat="1" applyFont="1" applyAlignment="1">
      <alignment horizontal="left" vertical="center"/>
    </xf>
    <xf numFmtId="0" fontId="40" fillId="0" borderId="0" xfId="0" applyFont="1" applyAlignment="1">
      <alignment vertical="center"/>
    </xf>
    <xf numFmtId="0" fontId="5" fillId="0" borderId="0" xfId="0" applyFont="1" applyAlignment="1">
      <alignment horizontal="left" vertical="center"/>
    </xf>
    <xf numFmtId="164" fontId="16" fillId="17" borderId="1" xfId="0" applyNumberFormat="1" applyFont="1" applyFill="1" applyBorder="1" applyAlignment="1" applyProtection="1">
      <alignment vertical="center"/>
      <protection locked="0"/>
    </xf>
    <xf numFmtId="165" fontId="16" fillId="28" borderId="6" xfId="1" applyNumberFormat="1" applyFont="1" applyFill="1" applyBorder="1" applyAlignment="1" applyProtection="1">
      <alignment horizontal="center" vertical="center"/>
      <protection locked="0"/>
    </xf>
    <xf numFmtId="165" fontId="0" fillId="17" borderId="6" xfId="1" applyNumberFormat="1" applyFont="1" applyFill="1" applyBorder="1" applyAlignment="1" applyProtection="1">
      <alignment horizontal="center" vertical="center"/>
      <protection locked="0"/>
    </xf>
    <xf numFmtId="2" fontId="16" fillId="16" borderId="1" xfId="0" applyNumberFormat="1" applyFont="1" applyFill="1" applyBorder="1" applyAlignment="1" applyProtection="1">
      <alignment vertical="center"/>
      <protection locked="0"/>
    </xf>
    <xf numFmtId="165" fontId="16" fillId="17" borderId="6" xfId="1" applyNumberFormat="1" applyFont="1" applyFill="1" applyBorder="1" applyAlignment="1" applyProtection="1">
      <alignment horizontal="center" vertical="center"/>
      <protection locked="0"/>
    </xf>
    <xf numFmtId="0" fontId="8" fillId="26" borderId="0" xfId="0" applyFont="1" applyFill="1" applyAlignment="1">
      <alignment horizontal="left" vertical="center"/>
    </xf>
    <xf numFmtId="165" fontId="7" fillId="15" borderId="33" xfId="1" applyNumberFormat="1" applyFont="1" applyFill="1" applyBorder="1" applyAlignment="1" applyProtection="1">
      <alignment horizontal="center" vertical="center"/>
    </xf>
    <xf numFmtId="0" fontId="8" fillId="0" borderId="0" xfId="0" applyFont="1" applyAlignment="1">
      <alignment horizontal="left" vertical="center"/>
    </xf>
    <xf numFmtId="0" fontId="8" fillId="26" borderId="0" xfId="0" applyFont="1" applyFill="1" applyAlignment="1">
      <alignment vertical="center"/>
    </xf>
    <xf numFmtId="0" fontId="41" fillId="0" borderId="0" xfId="0" applyFont="1" applyAlignment="1">
      <alignment horizontal="left" vertical="center"/>
    </xf>
    <xf numFmtId="0" fontId="42" fillId="0" borderId="0" xfId="0" applyFont="1" applyAlignment="1">
      <alignment horizontal="left" vertical="center"/>
    </xf>
    <xf numFmtId="0" fontId="8" fillId="0" borderId="0" xfId="0" applyFont="1" applyAlignment="1" applyProtection="1">
      <alignment horizontal="left" vertical="center"/>
      <protection hidden="1"/>
    </xf>
    <xf numFmtId="0" fontId="41" fillId="0" borderId="0" xfId="0" applyFont="1" applyAlignment="1" applyProtection="1">
      <alignment horizontal="left" vertical="center"/>
      <protection hidden="1"/>
    </xf>
    <xf numFmtId="0" fontId="42" fillId="0" borderId="0" xfId="0" applyFont="1" applyAlignment="1" applyProtection="1">
      <alignment horizontal="left" vertical="center"/>
      <protection hidden="1"/>
    </xf>
    <xf numFmtId="2" fontId="8" fillId="0" borderId="0" xfId="0" applyNumberFormat="1" applyFont="1" applyAlignment="1" applyProtection="1">
      <alignment horizontal="left" vertical="center"/>
      <protection hidden="1"/>
    </xf>
    <xf numFmtId="2" fontId="31" fillId="0" borderId="0" xfId="0" applyNumberFormat="1" applyFont="1" applyAlignment="1" applyProtection="1">
      <alignment horizontal="left" vertical="center"/>
      <protection hidden="1"/>
    </xf>
    <xf numFmtId="2" fontId="36" fillId="18" borderId="34" xfId="0" applyNumberFormat="1" applyFont="1" applyFill="1" applyBorder="1" applyAlignment="1">
      <alignment horizontal="center" vertical="top" wrapText="1"/>
    </xf>
    <xf numFmtId="164" fontId="0" fillId="5" borderId="0" xfId="0" applyNumberFormat="1" applyFill="1" applyAlignment="1">
      <alignment horizontal="left" vertical="center"/>
    </xf>
    <xf numFmtId="0" fontId="0" fillId="0" borderId="25" xfId="0" applyBorder="1" applyAlignment="1">
      <alignment vertical="center"/>
    </xf>
    <xf numFmtId="165" fontId="16" fillId="15" borderId="13" xfId="1" applyNumberFormat="1" applyFont="1" applyFill="1" applyBorder="1" applyAlignment="1" applyProtection="1">
      <alignment horizontal="center" vertical="center"/>
    </xf>
    <xf numFmtId="0" fontId="0" fillId="0" borderId="24" xfId="0" applyBorder="1" applyAlignment="1">
      <alignment vertical="center"/>
    </xf>
    <xf numFmtId="2" fontId="16" fillId="7" borderId="3" xfId="0" applyNumberFormat="1" applyFont="1" applyFill="1" applyBorder="1" applyAlignment="1">
      <alignment horizontal="right" vertical="center"/>
    </xf>
    <xf numFmtId="49" fontId="33" fillId="17" borderId="12" xfId="0" applyNumberFormat="1" applyFont="1" applyFill="1" applyBorder="1" applyAlignment="1" applyProtection="1">
      <alignment vertical="center"/>
      <protection locked="0"/>
    </xf>
    <xf numFmtId="2" fontId="16" fillId="17" borderId="1" xfId="0" applyNumberFormat="1" applyFont="1" applyFill="1" applyBorder="1" applyAlignment="1" applyProtection="1">
      <alignment vertical="center"/>
      <protection locked="0"/>
    </xf>
    <xf numFmtId="2" fontId="0" fillId="17" borderId="0" xfId="0" applyNumberFormat="1" applyFill="1" applyAlignment="1" applyProtection="1">
      <alignment vertical="center"/>
      <protection locked="0"/>
    </xf>
    <xf numFmtId="2" fontId="16" fillId="7" borderId="1" xfId="0" applyNumberFormat="1" applyFont="1" applyFill="1" applyBorder="1" applyAlignment="1">
      <alignment vertical="center"/>
    </xf>
    <xf numFmtId="166" fontId="16" fillId="16" borderId="1" xfId="0" applyNumberFormat="1" applyFont="1" applyFill="1" applyBorder="1" applyAlignment="1" applyProtection="1">
      <alignment vertical="center"/>
      <protection locked="0"/>
    </xf>
    <xf numFmtId="2" fontId="16" fillId="17" borderId="15" xfId="0" applyNumberFormat="1" applyFont="1" applyFill="1" applyBorder="1" applyAlignment="1" applyProtection="1">
      <alignment vertical="center"/>
      <protection locked="0"/>
    </xf>
    <xf numFmtId="2" fontId="0" fillId="5" borderId="1" xfId="0" applyNumberFormat="1" applyFill="1" applyBorder="1" applyAlignment="1">
      <alignment horizontal="right" vertical="center"/>
    </xf>
    <xf numFmtId="2" fontId="16" fillId="16" borderId="1" xfId="0" applyNumberFormat="1" applyFont="1" applyFill="1" applyBorder="1" applyAlignment="1" applyProtection="1">
      <alignment horizontal="right" vertical="center"/>
      <protection locked="0"/>
    </xf>
    <xf numFmtId="2" fontId="16" fillId="5" borderId="1" xfId="0" applyNumberFormat="1" applyFont="1" applyFill="1" applyBorder="1" applyAlignment="1">
      <alignment horizontal="right" vertical="center"/>
    </xf>
    <xf numFmtId="2" fontId="14" fillId="5" borderId="12" xfId="0" applyNumberFormat="1" applyFont="1" applyFill="1" applyBorder="1" applyAlignment="1">
      <alignment vertical="center"/>
    </xf>
    <xf numFmtId="2" fontId="14" fillId="5" borderId="1" xfId="0" applyNumberFormat="1" applyFont="1" applyFill="1" applyBorder="1" applyAlignment="1">
      <alignment vertical="center"/>
    </xf>
    <xf numFmtId="2" fontId="14" fillId="5" borderId="8" xfId="0" applyNumberFormat="1" applyFont="1" applyFill="1" applyBorder="1" applyAlignment="1">
      <alignment vertical="center"/>
    </xf>
    <xf numFmtId="2" fontId="14" fillId="5" borderId="15" xfId="0" applyNumberFormat="1" applyFont="1" applyFill="1" applyBorder="1" applyAlignment="1">
      <alignment vertical="center"/>
    </xf>
    <xf numFmtId="0" fontId="9" fillId="0" borderId="1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21" fillId="18" borderId="26" xfId="0" applyFont="1" applyFill="1" applyBorder="1" applyAlignment="1">
      <alignment horizontal="left" vertical="center" wrapText="1"/>
    </xf>
    <xf numFmtId="0" fontId="21" fillId="18" borderId="27" xfId="0" applyFont="1" applyFill="1" applyBorder="1" applyAlignment="1">
      <alignment horizontal="left" vertical="center" wrapText="1"/>
    </xf>
    <xf numFmtId="0" fontId="21" fillId="18" borderId="17" xfId="0" applyFont="1" applyFill="1" applyBorder="1" applyAlignment="1">
      <alignment horizontal="left" vertical="center"/>
    </xf>
    <xf numFmtId="0" fontId="21" fillId="18" borderId="18" xfId="0" applyFont="1" applyFill="1" applyBorder="1" applyAlignment="1">
      <alignment horizontal="left" vertical="center"/>
    </xf>
    <xf numFmtId="0" fontId="21" fillId="18" borderId="29" xfId="0" applyFont="1" applyFill="1" applyBorder="1" applyAlignment="1">
      <alignment horizontal="left" vertical="center"/>
    </xf>
    <xf numFmtId="0" fontId="21" fillId="18" borderId="30" xfId="0" applyFont="1" applyFill="1" applyBorder="1" applyAlignment="1">
      <alignment horizontal="left" vertical="center"/>
    </xf>
    <xf numFmtId="0" fontId="1" fillId="0" borderId="31" xfId="0" applyFont="1" applyBorder="1" applyAlignment="1">
      <alignment horizontal="left" vertical="center"/>
    </xf>
    <xf numFmtId="0" fontId="1" fillId="0" borderId="7" xfId="0" applyFont="1" applyBorder="1" applyAlignment="1">
      <alignment horizontal="left" vertical="center"/>
    </xf>
    <xf numFmtId="0" fontId="17" fillId="0" borderId="0" xfId="0" applyFont="1" applyAlignment="1">
      <alignment horizontal="left" vertical="center"/>
    </xf>
    <xf numFmtId="0" fontId="32" fillId="5" borderId="21" xfId="0" applyFont="1" applyFill="1" applyBorder="1" applyAlignment="1">
      <alignment horizontal="center" vertical="center"/>
    </xf>
    <xf numFmtId="0" fontId="32" fillId="5" borderId="0" xfId="0" applyFont="1" applyFill="1" applyAlignment="1">
      <alignment horizontal="center" vertical="center"/>
    </xf>
    <xf numFmtId="0" fontId="1" fillId="0" borderId="32" xfId="0" applyFont="1" applyBorder="1" applyAlignment="1">
      <alignment horizontal="left" vertical="center"/>
    </xf>
    <xf numFmtId="0" fontId="39" fillId="0" borderId="29" xfId="0" applyFont="1" applyBorder="1" applyAlignment="1">
      <alignment horizontal="center" vertical="center" wrapText="1"/>
    </xf>
    <xf numFmtId="0" fontId="39" fillId="0" borderId="30" xfId="0" applyFont="1" applyBorder="1" applyAlignment="1">
      <alignment horizontal="center" vertical="center" wrapText="1"/>
    </xf>
    <xf numFmtId="2" fontId="18" fillId="0" borderId="27" xfId="0" applyNumberFormat="1" applyFont="1" applyBorder="1" applyAlignment="1">
      <alignment horizontal="center" vertical="center"/>
    </xf>
    <xf numFmtId="2" fontId="18" fillId="0" borderId="28" xfId="0" applyNumberFormat="1" applyFont="1" applyBorder="1" applyAlignment="1">
      <alignment horizontal="center" vertical="center"/>
    </xf>
    <xf numFmtId="0" fontId="21" fillId="18" borderId="29" xfId="0" applyFont="1" applyFill="1" applyBorder="1" applyAlignment="1">
      <alignment horizontal="left" vertical="center" wrapText="1"/>
    </xf>
    <xf numFmtId="0" fontId="21" fillId="18" borderId="35" xfId="0" applyFont="1" applyFill="1" applyBorder="1" applyAlignment="1">
      <alignment horizontal="left" vertical="center" wrapText="1"/>
    </xf>
    <xf numFmtId="0" fontId="21" fillId="18" borderId="34" xfId="0" applyFont="1" applyFill="1" applyBorder="1" applyAlignment="1">
      <alignment horizontal="left" vertical="center" wrapText="1"/>
    </xf>
    <xf numFmtId="0" fontId="21" fillId="18" borderId="35" xfId="0" applyFont="1" applyFill="1" applyBorder="1" applyAlignment="1">
      <alignment horizontal="left" vertical="center"/>
    </xf>
    <xf numFmtId="0" fontId="21" fillId="18" borderId="34" xfId="0" applyFont="1" applyFill="1" applyBorder="1" applyAlignment="1">
      <alignment horizontal="left" vertical="center"/>
    </xf>
    <xf numFmtId="49" fontId="1" fillId="0" borderId="1" xfId="0" applyNumberFormat="1" applyFont="1" applyBorder="1" applyAlignment="1">
      <alignment horizontal="center"/>
    </xf>
    <xf numFmtId="0" fontId="0" fillId="13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11" borderId="1" xfId="0" applyFill="1" applyBorder="1" applyAlignment="1">
      <alignment horizontal="center" vertical="center"/>
    </xf>
    <xf numFmtId="0" fontId="0" fillId="12" borderId="1" xfId="0" applyFill="1" applyBorder="1" applyAlignment="1">
      <alignment horizontal="center" vertical="center"/>
    </xf>
    <xf numFmtId="0" fontId="0" fillId="10" borderId="1" xfId="0" applyFill="1" applyBorder="1" applyAlignment="1">
      <alignment horizontal="center" vertical="center"/>
    </xf>
    <xf numFmtId="0" fontId="9" fillId="0" borderId="0" xfId="0" applyFont="1" applyAlignment="1">
      <alignment horizontal="center"/>
    </xf>
  </cellXfs>
  <cellStyles count="5">
    <cellStyle name="Bad" xfId="4" builtinId="27"/>
    <cellStyle name="Good" xfId="3" builtinId="26"/>
    <cellStyle name="Hyperlink" xfId="2" builtinId="8"/>
    <cellStyle name="Normal" xfId="0" builtinId="0"/>
    <cellStyle name="Percent" xfId="1" builtinId="5"/>
  </cellStyles>
  <dxfs count="18">
    <dxf>
      <font>
        <color rgb="FFC00000"/>
      </font>
      <fill>
        <patternFill>
          <bgColor rgb="FFFFC7CE"/>
        </patternFill>
      </fill>
    </dxf>
    <dxf>
      <font>
        <color rgb="FFC00000"/>
      </font>
      <fill>
        <patternFill>
          <bgColor rgb="FFFFC7CE"/>
        </patternFill>
      </fill>
    </dxf>
    <dxf>
      <font>
        <color rgb="FFC00000"/>
      </font>
      <fill>
        <patternFill>
          <bgColor rgb="FFFFC7CE"/>
        </patternFill>
      </fill>
    </dxf>
    <dxf>
      <font>
        <color rgb="FFC00000"/>
      </font>
      <fill>
        <patternFill>
          <bgColor rgb="FFFFC7CE"/>
        </patternFill>
      </fill>
    </dxf>
    <dxf>
      <font>
        <color rgb="FFC00000"/>
      </font>
      <fill>
        <patternFill>
          <bgColor rgb="FFFFC7CE"/>
        </patternFill>
      </fill>
    </dxf>
    <dxf>
      <font>
        <color rgb="FFC00000"/>
      </font>
      <fill>
        <patternFill>
          <bgColor rgb="FFFFC7CE"/>
        </patternFill>
      </fill>
    </dxf>
    <dxf>
      <font>
        <color rgb="FFC00000"/>
      </font>
      <fill>
        <patternFill>
          <bgColor rgb="FFFFC7CE"/>
        </patternFill>
      </fill>
    </dxf>
    <dxf>
      <font>
        <color rgb="FFC00000"/>
      </font>
      <fill>
        <patternFill>
          <bgColor rgb="FFFFC7CE"/>
        </patternFill>
      </fill>
    </dxf>
    <dxf>
      <font>
        <color rgb="FFC00000"/>
      </font>
      <fill>
        <patternFill>
          <bgColor rgb="FFFFC7CE"/>
        </patternFill>
      </fill>
    </dxf>
    <dxf>
      <font>
        <color rgb="FFC00000"/>
      </font>
    </dxf>
    <dxf>
      <font>
        <color rgb="FFC00000"/>
      </font>
      <fill>
        <patternFill>
          <bgColor rgb="FFFFC7CE"/>
        </patternFill>
      </fill>
    </dxf>
    <dxf>
      <font>
        <color rgb="FFC00000"/>
      </font>
      <fill>
        <patternFill>
          <bgColor rgb="FFFFC7CE"/>
        </patternFill>
      </fill>
    </dxf>
    <dxf>
      <font>
        <color rgb="FFC00000"/>
      </font>
      <fill>
        <patternFill>
          <bgColor rgb="FFFFC7CE"/>
        </patternFill>
      </fill>
    </dxf>
    <dxf>
      <font>
        <color rgb="FFC00000"/>
      </font>
      <fill>
        <patternFill>
          <bgColor rgb="FFFFC7CE"/>
        </patternFill>
      </fill>
    </dxf>
    <dxf>
      <font>
        <color rgb="FFC00000"/>
      </font>
      <fill>
        <patternFill>
          <bgColor rgb="FFFFC7CE"/>
        </patternFill>
      </fill>
    </dxf>
    <dxf>
      <font>
        <b/>
        <i val="0"/>
        <color auto="1"/>
      </font>
      <fill>
        <patternFill>
          <bgColor rgb="FF00FF00"/>
        </patternFill>
      </fill>
    </dxf>
    <dxf>
      <font>
        <color rgb="FFC00000"/>
      </font>
      <fill>
        <patternFill>
          <bgColor rgb="FFFFC7CE"/>
        </patternFill>
      </fill>
    </dxf>
    <dxf>
      <font>
        <color rgb="FFC00000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0000FF"/>
      <color rgb="FF00FFFF"/>
      <color rgb="FFFFC7CE"/>
      <color rgb="FFFF3300"/>
      <color rgb="FFFFFF99"/>
      <color rgb="FFFFFFCC"/>
      <color rgb="FFFF99FF"/>
      <color rgb="FF00FF00"/>
      <color rgb="FF33CC33"/>
      <color rgb="FF96969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VIN</a:t>
            </a:r>
            <a:r>
              <a:rPr lang="en-US" sz="1600" baseline="0"/>
              <a:t> Thresholds Programmed</a:t>
            </a:r>
            <a:endParaRPr lang="en-US" sz="1600"/>
          </a:p>
        </c:rich>
      </c:tx>
      <c:layout>
        <c:manualLayout>
          <c:xMode val="edge"/>
          <c:yMode val="edge"/>
          <c:x val="0.11568147365500524"/>
          <c:y val="7.4410632963906209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0716126526221315"/>
          <c:y val="4.7291727471401007E-2"/>
          <c:w val="0.82587059339021518"/>
          <c:h val="0.88231202221800842"/>
        </c:manualLayout>
      </c:layout>
      <c:lineChart>
        <c:grouping val="standard"/>
        <c:varyColors val="0"/>
        <c:ser>
          <c:idx val="0"/>
          <c:order val="0"/>
          <c:spPr>
            <a:ln>
              <a:solidFill>
                <a:srgbClr val="0000FF"/>
              </a:solidFill>
            </a:ln>
          </c:spPr>
          <c:marker>
            <c:spPr>
              <a:ln>
                <a:solidFill>
                  <a:srgbClr val="0000FF"/>
                </a:solidFill>
              </a:ln>
            </c:spPr>
          </c:marker>
          <c:dLbls>
            <c:dLbl>
              <c:idx val="0"/>
              <c:layout>
                <c:manualLayout>
                  <c:x val="-8.5141680229409253E-2"/>
                  <c:y val="3.3132937989404539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435-4FF4-851C-9E2B9CCCD5AD}"/>
                </c:ext>
              </c:extLst>
            </c:dLbl>
            <c:dLbl>
              <c:idx val="1"/>
              <c:layout>
                <c:manualLayout>
                  <c:x val="1.368050798922734E-3"/>
                  <c:y val="-2.4620107467582326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4435-4FF4-851C-9E2B9CCCD5AD}"/>
                </c:ext>
              </c:extLst>
            </c:dLbl>
            <c:dLbl>
              <c:idx val="2"/>
              <c:numFmt formatCode="General" sourceLinked="0"/>
              <c:spPr/>
              <c:txPr>
                <a:bodyPr/>
                <a:lstStyle/>
                <a:p>
                  <a:pPr>
                    <a:defRPr/>
                  </a:pPr>
                  <a:endParaRPr lang="en-US"/>
                </a:p>
              </c:txPr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4435-4FF4-851C-9E2B9CCCD5AD}"/>
                </c:ext>
              </c:extLst>
            </c:dLbl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'Calculation Sheet'!$K$35:$K$37</c:f>
            </c:multiLvlStrRef>
          </c:cat>
          <c:val>
            <c:numRef>
              <c:f>'Calculation Sheet'!$J$35:$J$37</c:f>
            </c:numRef>
          </c:val>
          <c:smooth val="0"/>
          <c:extLst>
            <c:ext xmlns:c16="http://schemas.microsoft.com/office/drawing/2014/chart" uri="{C3380CC4-5D6E-409C-BE32-E72D297353CC}">
              <c16:uniqueId val="{00000003-4435-4FF4-851C-9E2B9CCCD5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1237632"/>
        <c:axId val="141284480"/>
      </c:lineChart>
      <c:catAx>
        <c:axId val="141237632"/>
        <c:scaling>
          <c:orientation val="minMax"/>
        </c:scaling>
        <c:delete val="1"/>
        <c:axPos val="b"/>
        <c:majorGridlines/>
        <c:minorGridlines/>
        <c:numFmt formatCode="General" sourceLinked="1"/>
        <c:majorTickMark val="out"/>
        <c:minorTickMark val="none"/>
        <c:tickLblPos val="nextTo"/>
        <c:crossAx val="141284480"/>
        <c:crosses val="autoZero"/>
        <c:auto val="0"/>
        <c:lblAlgn val="ctr"/>
        <c:lblOffset val="100"/>
        <c:noMultiLvlLbl val="0"/>
      </c:catAx>
      <c:valAx>
        <c:axId val="141284480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14123763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Current Limits Programmed</a:t>
            </a:r>
          </a:p>
        </c:rich>
      </c:tx>
      <c:layout>
        <c:manualLayout>
          <c:xMode val="edge"/>
          <c:yMode val="edge"/>
          <c:x val="0.10026176548168023"/>
          <c:y val="7.9024883170300236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9.3085739282589675E-2"/>
          <c:y val="6.3406866699778158E-2"/>
          <c:w val="0.87635870516185477"/>
          <c:h val="0.86010711488179736"/>
        </c:manualLayout>
      </c:layout>
      <c:lineChart>
        <c:grouping val="standard"/>
        <c:varyColors val="0"/>
        <c:ser>
          <c:idx val="0"/>
          <c:order val="0"/>
          <c:spPr>
            <a:ln>
              <a:solidFill>
                <a:srgbClr val="0000FF"/>
              </a:solidFill>
            </a:ln>
          </c:spPr>
          <c:marker>
            <c:spPr>
              <a:ln>
                <a:solidFill>
                  <a:srgbClr val="0000FF"/>
                </a:solidFill>
              </a:ln>
            </c:spPr>
          </c:marker>
          <c:dLbls>
            <c:dLbl>
              <c:idx val="1"/>
              <c:layout>
                <c:manualLayout>
                  <c:x val="-7.9576822495943148E-4"/>
                  <c:y val="-2.8011753784932768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BC2-473E-936B-D14B0901B732}"/>
                </c:ext>
              </c:extLst>
            </c:dLbl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'Calculation Sheet'!$K$58:$K$59</c:f>
              <c:strCache>
                <c:ptCount val="2"/>
                <c:pt idx="0">
                  <c:v>Inrush Charging 
Current</c:v>
                </c:pt>
                <c:pt idx="1">
                  <c:v>Overload Curr
Limit</c:v>
                </c:pt>
              </c:strCache>
            </c:strRef>
          </c:cat>
          <c:val>
            <c:numRef>
              <c:f>'Calculation Sheet'!$J$58:$J$59</c:f>
              <c:numCache>
                <c:formatCode>0.00</c:formatCode>
                <c:ptCount val="2"/>
                <c:pt idx="0">
                  <c:v>0.20140909090909087</c:v>
                </c:pt>
                <c:pt idx="1">
                  <c:v>1.079839053254438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BC2-473E-936B-D14B0901B7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0997760"/>
        <c:axId val="140999296"/>
      </c:lineChart>
      <c:catAx>
        <c:axId val="140997760"/>
        <c:scaling>
          <c:orientation val="minMax"/>
        </c:scaling>
        <c:delete val="1"/>
        <c:axPos val="b"/>
        <c:majorGridlines/>
        <c:minorGridlines/>
        <c:numFmt formatCode="General" sourceLinked="0"/>
        <c:majorTickMark val="out"/>
        <c:minorTickMark val="none"/>
        <c:tickLblPos val="nextTo"/>
        <c:crossAx val="140999296"/>
        <c:crosses val="autoZero"/>
        <c:auto val="0"/>
        <c:lblAlgn val="ctr"/>
        <c:lblOffset val="100"/>
        <c:noMultiLvlLbl val="0"/>
      </c:catAx>
      <c:valAx>
        <c:axId val="140999296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14099776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VIN</a:t>
            </a:r>
            <a:r>
              <a:rPr lang="en-US" sz="1600" baseline="0"/>
              <a:t> Thresholds Programmed</a:t>
            </a:r>
            <a:endParaRPr lang="en-US" sz="1600"/>
          </a:p>
        </c:rich>
      </c:tx>
      <c:layout>
        <c:manualLayout>
          <c:xMode val="edge"/>
          <c:yMode val="edge"/>
          <c:x val="0.10118012439724453"/>
          <c:y val="6.8841608328198134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9.81644719991977E-2"/>
          <c:y val="6.3419080531524771E-2"/>
          <c:w val="0.86730704081057419"/>
          <c:h val="0.87343973027580013"/>
        </c:manualLayout>
      </c:layout>
      <c:lineChart>
        <c:grouping val="standard"/>
        <c:varyColors val="0"/>
        <c:ser>
          <c:idx val="0"/>
          <c:order val="0"/>
          <c:spPr>
            <a:ln>
              <a:solidFill>
                <a:srgbClr val="0000FF"/>
              </a:solidFill>
            </a:ln>
          </c:spPr>
          <c:marker>
            <c:spPr>
              <a:ln>
                <a:solidFill>
                  <a:srgbClr val="0000FF"/>
                </a:solidFill>
              </a:ln>
            </c:spPr>
          </c:marker>
          <c:dLbls>
            <c:dLbl>
              <c:idx val="0"/>
              <c:layout>
                <c:manualLayout>
                  <c:x val="-9.2787087657858452E-2"/>
                  <c:y val="1.4655413478404556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316-47B1-84C8-21550489D68D}"/>
                </c:ext>
              </c:extLst>
            </c:dLbl>
            <c:dLbl>
              <c:idx val="1"/>
              <c:layout>
                <c:manualLayout>
                  <c:x val="-4.1146329539822396E-3"/>
                  <c:y val="9.1229912410495592E-3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4316-47B1-84C8-21550489D68D}"/>
                </c:ext>
              </c:extLst>
            </c:dLbl>
            <c:dLbl>
              <c:idx val="2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4316-47B1-84C8-21550489D68D}"/>
                </c:ext>
              </c:extLst>
            </c:dLbl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'Calculation Sheet'!$K$44:$K$47</c:f>
              <c:strCache>
                <c:ptCount val="4"/>
                <c:pt idx="0">
                  <c:v>Power Fail (VIN Falling)</c:v>
                </c:pt>
                <c:pt idx="1">
                  <c:v>Release UVLO (VIN Rising)</c:v>
                </c:pt>
                <c:pt idx="2">
                  <c:v>Release OVLO (VIN Falling)</c:v>
                </c:pt>
                <c:pt idx="3">
                  <c:v>OV Cutoff (VIN Rising)</c:v>
                </c:pt>
              </c:strCache>
            </c:strRef>
          </c:cat>
          <c:val>
            <c:numRef>
              <c:f>'Calculation Sheet'!$J$44:$J$47</c:f>
              <c:numCache>
                <c:formatCode>0.00</c:formatCode>
                <c:ptCount val="4"/>
                <c:pt idx="0">
                  <c:v>9.1527086383601759</c:v>
                </c:pt>
                <c:pt idx="1">
                  <c:v>9.9847730600292817</c:v>
                </c:pt>
                <c:pt idx="2">
                  <c:v>11.907238095238094</c:v>
                </c:pt>
                <c:pt idx="3">
                  <c:v>12.989714285714284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316-47B1-84C8-21550489D6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1015680"/>
        <c:axId val="141304192"/>
      </c:lineChart>
      <c:catAx>
        <c:axId val="141015680"/>
        <c:scaling>
          <c:orientation val="minMax"/>
        </c:scaling>
        <c:delete val="1"/>
        <c:axPos val="b"/>
        <c:majorGridlines/>
        <c:minorGridlines/>
        <c:numFmt formatCode="General" sourceLinked="1"/>
        <c:majorTickMark val="out"/>
        <c:minorTickMark val="none"/>
        <c:tickLblPos val="nextTo"/>
        <c:crossAx val="141304192"/>
        <c:crosses val="autoZero"/>
        <c:auto val="0"/>
        <c:lblAlgn val="ctr"/>
        <c:lblOffset val="100"/>
        <c:noMultiLvlLbl val="0"/>
      </c:catAx>
      <c:valAx>
        <c:axId val="141304192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14101568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title>
      <c:tx>
        <c:strRef>
          <c:f>'Thermal Shutdown Limit Plot'!$M$8</c:f>
          <c:strCache>
            <c:ptCount val="1"/>
            <c:pt idx="0">
              <c:v>Thermal Shutdown Time Vs. Power Dissipation</c:v>
            </c:pt>
          </c:strCache>
        </c:strRef>
      </c:tx>
      <c:layout>
        <c:manualLayout>
          <c:xMode val="edge"/>
          <c:yMode val="edge"/>
          <c:x val="0.22998655195363296"/>
          <c:y val="0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1290427794390517"/>
          <c:y val="6.7561626812458503E-2"/>
          <c:w val="0.73209137791280654"/>
          <c:h val="0.7318493072414991"/>
        </c:manualLayout>
      </c:layout>
      <c:scatterChart>
        <c:scatterStyle val="smoothMarker"/>
        <c:varyColors val="0"/>
        <c:ser>
          <c:idx val="0"/>
          <c:order val="0"/>
          <c:tx>
            <c:v>-40 degC</c:v>
          </c:tx>
          <c:marker>
            <c:symbol val="none"/>
          </c:marker>
          <c:xVal>
            <c:numRef>
              <c:f>'Thermal Shutdown Limit Plot'!$A$11:$A$37</c:f>
              <c:numCache>
                <c:formatCode>0.00</c:formatCode>
                <c:ptCount val="27"/>
                <c:pt idx="0">
                  <c:v>4.6677672000000001</c:v>
                </c:pt>
                <c:pt idx="1">
                  <c:v>4.8448399999999996</c:v>
                </c:pt>
                <c:pt idx="2">
                  <c:v>5.12967</c:v>
                </c:pt>
                <c:pt idx="3">
                  <c:v>5.2304863999999993</c:v>
                </c:pt>
                <c:pt idx="4">
                  <c:v>5.6380618999999994</c:v>
                </c:pt>
                <c:pt idx="5">
                  <c:v>6.1074200000000003</c:v>
                </c:pt>
                <c:pt idx="6">
                  <c:v>6.4708800000000002</c:v>
                </c:pt>
                <c:pt idx="7">
                  <c:v>6.6616280000000003</c:v>
                </c:pt>
                <c:pt idx="8">
                  <c:v>7.0372570000000003</c:v>
                </c:pt>
                <c:pt idx="9">
                  <c:v>7.2235519999999998</c:v>
                </c:pt>
                <c:pt idx="10">
                  <c:v>7.6108510000000003</c:v>
                </c:pt>
                <c:pt idx="11">
                  <c:v>8.0334850000000007</c:v>
                </c:pt>
                <c:pt idx="12">
                  <c:v>8.4687570000000019</c:v>
                </c:pt>
                <c:pt idx="13">
                  <c:v>8.8463750000000019</c:v>
                </c:pt>
                <c:pt idx="14">
                  <c:v>9.2627900000000007</c:v>
                </c:pt>
                <c:pt idx="15">
                  <c:v>9.6714940000000009</c:v>
                </c:pt>
                <c:pt idx="16">
                  <c:v>10.109862000000001</c:v>
                </c:pt>
                <c:pt idx="17">
                  <c:v>10.492485</c:v>
                </c:pt>
                <c:pt idx="18">
                  <c:v>10.872640000000001</c:v>
                </c:pt>
                <c:pt idx="19">
                  <c:v>11.276704000000001</c:v>
                </c:pt>
                <c:pt idx="20">
                  <c:v>11.63392</c:v>
                </c:pt>
                <c:pt idx="21">
                  <c:v>11.945050000000002</c:v>
                </c:pt>
                <c:pt idx="22">
                  <c:v>12.931856</c:v>
                </c:pt>
                <c:pt idx="23">
                  <c:v>14.02908</c:v>
                </c:pt>
                <c:pt idx="24">
                  <c:v>14.914695</c:v>
                </c:pt>
                <c:pt idx="25">
                  <c:v>16.083785000000002</c:v>
                </c:pt>
                <c:pt idx="26">
                  <c:v>16.928345000000004</c:v>
                </c:pt>
              </c:numCache>
            </c:numRef>
          </c:xVal>
          <c:yVal>
            <c:numRef>
              <c:f>'Thermal Shutdown Limit Plot'!$B$11:$B$37</c:f>
              <c:numCache>
                <c:formatCode>0.00</c:formatCode>
                <c:ptCount val="27"/>
                <c:pt idx="0">
                  <c:v>15610</c:v>
                </c:pt>
                <c:pt idx="1">
                  <c:v>11100</c:v>
                </c:pt>
                <c:pt idx="2">
                  <c:v>7707</c:v>
                </c:pt>
                <c:pt idx="3">
                  <c:v>6703</c:v>
                </c:pt>
                <c:pt idx="4">
                  <c:v>4820</c:v>
                </c:pt>
                <c:pt idx="5">
                  <c:v>4406</c:v>
                </c:pt>
                <c:pt idx="6">
                  <c:v>3588</c:v>
                </c:pt>
                <c:pt idx="7">
                  <c:v>3022</c:v>
                </c:pt>
                <c:pt idx="8">
                  <c:v>2052</c:v>
                </c:pt>
                <c:pt idx="9">
                  <c:v>1878</c:v>
                </c:pt>
                <c:pt idx="10">
                  <c:v>1362</c:v>
                </c:pt>
                <c:pt idx="11">
                  <c:v>1073</c:v>
                </c:pt>
                <c:pt idx="12">
                  <c:v>682.7</c:v>
                </c:pt>
                <c:pt idx="13">
                  <c:v>627</c:v>
                </c:pt>
                <c:pt idx="14">
                  <c:v>487.8</c:v>
                </c:pt>
                <c:pt idx="15">
                  <c:v>373.4</c:v>
                </c:pt>
                <c:pt idx="16">
                  <c:v>294.8</c:v>
                </c:pt>
                <c:pt idx="17">
                  <c:v>231.3</c:v>
                </c:pt>
                <c:pt idx="18">
                  <c:v>160.5</c:v>
                </c:pt>
                <c:pt idx="19">
                  <c:v>137.6</c:v>
                </c:pt>
                <c:pt idx="20">
                  <c:v>107.1</c:v>
                </c:pt>
                <c:pt idx="21">
                  <c:v>80.27</c:v>
                </c:pt>
                <c:pt idx="22">
                  <c:v>21.37</c:v>
                </c:pt>
                <c:pt idx="23">
                  <c:v>14.93</c:v>
                </c:pt>
                <c:pt idx="24">
                  <c:v>12.43</c:v>
                </c:pt>
                <c:pt idx="25">
                  <c:v>9.9309999999999992</c:v>
                </c:pt>
                <c:pt idx="26">
                  <c:v>8.5980000000000008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922-4407-9255-2A39E6C33C81}"/>
            </c:ext>
          </c:extLst>
        </c:ser>
        <c:ser>
          <c:idx val="1"/>
          <c:order val="1"/>
          <c:tx>
            <c:v>25 degC</c:v>
          </c:tx>
          <c:marker>
            <c:symbol val="none"/>
          </c:marker>
          <c:xVal>
            <c:numRef>
              <c:f>'Thermal Shutdown Limit Plot'!$C$11:$C$37</c:f>
              <c:numCache>
                <c:formatCode>0.00</c:formatCode>
                <c:ptCount val="27"/>
                <c:pt idx="0">
                  <c:v>3.3083904000000004</c:v>
                </c:pt>
                <c:pt idx="1">
                  <c:v>3.4777304999999998</c:v>
                </c:pt>
                <c:pt idx="2">
                  <c:v>3.6426454999999995</c:v>
                </c:pt>
                <c:pt idx="3">
                  <c:v>4.008</c:v>
                </c:pt>
                <c:pt idx="4">
                  <c:v>4.2149956</c:v>
                </c:pt>
                <c:pt idx="5">
                  <c:v>4.52956</c:v>
                </c:pt>
                <c:pt idx="6">
                  <c:v>5.2935420000000004</c:v>
                </c:pt>
                <c:pt idx="7">
                  <c:v>5.4131999999999998</c:v>
                </c:pt>
                <c:pt idx="8">
                  <c:v>5.5413559999999995</c:v>
                </c:pt>
                <c:pt idx="9">
                  <c:v>5.720923</c:v>
                </c:pt>
                <c:pt idx="10">
                  <c:v>5.8144589999999994</c:v>
                </c:pt>
                <c:pt idx="11">
                  <c:v>5.8617519999999992</c:v>
                </c:pt>
                <c:pt idx="12">
                  <c:v>6.0683700000000007</c:v>
                </c:pt>
                <c:pt idx="13">
                  <c:v>6.2770799999999998</c:v>
                </c:pt>
                <c:pt idx="14">
                  <c:v>6.6243239999999997</c:v>
                </c:pt>
                <c:pt idx="15">
                  <c:v>7.0359600000000002</c:v>
                </c:pt>
                <c:pt idx="16">
                  <c:v>7.461530999999999</c:v>
                </c:pt>
                <c:pt idx="17">
                  <c:v>7.8616999999999999</c:v>
                </c:pt>
                <c:pt idx="18">
                  <c:v>8.306855999999998</c:v>
                </c:pt>
                <c:pt idx="19">
                  <c:v>8.7628249999999994</c:v>
                </c:pt>
                <c:pt idx="20">
                  <c:v>9.1480430000000013</c:v>
                </c:pt>
                <c:pt idx="21">
                  <c:v>9.5026049999999991</c:v>
                </c:pt>
                <c:pt idx="22">
                  <c:v>9.9751699999999985</c:v>
                </c:pt>
                <c:pt idx="23">
                  <c:v>10.426212000000001</c:v>
                </c:pt>
                <c:pt idx="24">
                  <c:v>11.508699999999999</c:v>
                </c:pt>
                <c:pt idx="25">
                  <c:v>12.584540000000001</c:v>
                </c:pt>
                <c:pt idx="26">
                  <c:v>14.583699999999999</c:v>
                </c:pt>
              </c:numCache>
            </c:numRef>
          </c:xVal>
          <c:yVal>
            <c:numRef>
              <c:f>'Thermal Shutdown Limit Plot'!$D$11:$D$37</c:f>
              <c:numCache>
                <c:formatCode>0.00</c:formatCode>
                <c:ptCount val="27"/>
                <c:pt idx="0">
                  <c:v>14720</c:v>
                </c:pt>
                <c:pt idx="1">
                  <c:v>10400</c:v>
                </c:pt>
                <c:pt idx="2">
                  <c:v>8109</c:v>
                </c:pt>
                <c:pt idx="3">
                  <c:v>4688</c:v>
                </c:pt>
                <c:pt idx="4">
                  <c:v>4308</c:v>
                </c:pt>
                <c:pt idx="5">
                  <c:v>3159</c:v>
                </c:pt>
                <c:pt idx="6">
                  <c:v>2386</c:v>
                </c:pt>
                <c:pt idx="7">
                  <c:v>1901</c:v>
                </c:pt>
                <c:pt idx="8">
                  <c:v>1811</c:v>
                </c:pt>
                <c:pt idx="9">
                  <c:v>1531</c:v>
                </c:pt>
                <c:pt idx="10">
                  <c:v>1351</c:v>
                </c:pt>
                <c:pt idx="11">
                  <c:v>1314</c:v>
                </c:pt>
                <c:pt idx="12">
                  <c:v>1015</c:v>
                </c:pt>
                <c:pt idx="13">
                  <c:v>699.9</c:v>
                </c:pt>
                <c:pt idx="14">
                  <c:v>567.4</c:v>
                </c:pt>
                <c:pt idx="15">
                  <c:v>393.7</c:v>
                </c:pt>
                <c:pt idx="16">
                  <c:v>284.10000000000002</c:v>
                </c:pt>
                <c:pt idx="17">
                  <c:v>204.3</c:v>
                </c:pt>
                <c:pt idx="18">
                  <c:v>137</c:v>
                </c:pt>
                <c:pt idx="19">
                  <c:v>103.6</c:v>
                </c:pt>
                <c:pt idx="20">
                  <c:v>69.180000000000007</c:v>
                </c:pt>
                <c:pt idx="21">
                  <c:v>42.12</c:v>
                </c:pt>
                <c:pt idx="22">
                  <c:v>25.2</c:v>
                </c:pt>
                <c:pt idx="23">
                  <c:v>18.7</c:v>
                </c:pt>
                <c:pt idx="24">
                  <c:v>12.24</c:v>
                </c:pt>
                <c:pt idx="25">
                  <c:v>9.6120000000000001</c:v>
                </c:pt>
                <c:pt idx="26">
                  <c:v>6.3479999999999999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922-4407-9255-2A39E6C33C81}"/>
            </c:ext>
          </c:extLst>
        </c:ser>
        <c:ser>
          <c:idx val="2"/>
          <c:order val="2"/>
          <c:tx>
            <c:v>85C</c:v>
          </c:tx>
          <c:marker>
            <c:symbol val="none"/>
          </c:marker>
          <c:xVal>
            <c:numRef>
              <c:f>'Thermal Shutdown Limit Plot'!$E$11:$E$35</c:f>
              <c:numCache>
                <c:formatCode>0.00</c:formatCode>
                <c:ptCount val="25"/>
                <c:pt idx="0">
                  <c:v>1.931697</c:v>
                </c:pt>
                <c:pt idx="1">
                  <c:v>2.0282184000000001</c:v>
                </c:pt>
                <c:pt idx="2">
                  <c:v>2.1172004000000002</c:v>
                </c:pt>
                <c:pt idx="3">
                  <c:v>2.2043174999999997</c:v>
                </c:pt>
                <c:pt idx="4">
                  <c:v>2.5954280000000001</c:v>
                </c:pt>
                <c:pt idx="5">
                  <c:v>2.784465</c:v>
                </c:pt>
                <c:pt idx="6">
                  <c:v>2.8101020000000001</c:v>
                </c:pt>
                <c:pt idx="7">
                  <c:v>3.0081239999999996</c:v>
                </c:pt>
                <c:pt idx="8">
                  <c:v>3.0205350000000002</c:v>
                </c:pt>
                <c:pt idx="9">
                  <c:v>3.1549559999999999</c:v>
                </c:pt>
                <c:pt idx="10">
                  <c:v>3.36592</c:v>
                </c:pt>
                <c:pt idx="11">
                  <c:v>3.4024220000000001</c:v>
                </c:pt>
                <c:pt idx="12">
                  <c:v>3.8137250000000003</c:v>
                </c:pt>
                <c:pt idx="13">
                  <c:v>4.1537999999999995</c:v>
                </c:pt>
                <c:pt idx="14">
                  <c:v>4.6304549999999995</c:v>
                </c:pt>
                <c:pt idx="15">
                  <c:v>5.0058120000000006</c:v>
                </c:pt>
                <c:pt idx="16">
                  <c:v>5.3967150000000004</c:v>
                </c:pt>
                <c:pt idx="17">
                  <c:v>5.6366700000000005</c:v>
                </c:pt>
                <c:pt idx="18">
                  <c:v>5.9868899999999998</c:v>
                </c:pt>
                <c:pt idx="19">
                  <c:v>6.3427559999999996</c:v>
                </c:pt>
                <c:pt idx="20">
                  <c:v>6.8305499999999997</c:v>
                </c:pt>
                <c:pt idx="21">
                  <c:v>7.2388350000000008</c:v>
                </c:pt>
                <c:pt idx="22">
                  <c:v>8.0070300000000003</c:v>
                </c:pt>
                <c:pt idx="23">
                  <c:v>8.8393999999999995</c:v>
                </c:pt>
                <c:pt idx="24">
                  <c:v>10.00705</c:v>
                </c:pt>
              </c:numCache>
            </c:numRef>
          </c:xVal>
          <c:yVal>
            <c:numRef>
              <c:f>'Thermal Shutdown Limit Plot'!$F$11:$F$35</c:f>
              <c:numCache>
                <c:formatCode>0.00</c:formatCode>
                <c:ptCount val="25"/>
                <c:pt idx="0">
                  <c:v>13390</c:v>
                </c:pt>
                <c:pt idx="1">
                  <c:v>12320</c:v>
                </c:pt>
                <c:pt idx="2">
                  <c:v>7698</c:v>
                </c:pt>
                <c:pt idx="3">
                  <c:v>5925</c:v>
                </c:pt>
                <c:pt idx="4">
                  <c:v>4705</c:v>
                </c:pt>
                <c:pt idx="5">
                  <c:v>3955</c:v>
                </c:pt>
                <c:pt idx="6">
                  <c:v>3440</c:v>
                </c:pt>
                <c:pt idx="7">
                  <c:v>2701</c:v>
                </c:pt>
                <c:pt idx="8">
                  <c:v>2447</c:v>
                </c:pt>
                <c:pt idx="9">
                  <c:v>1999</c:v>
                </c:pt>
                <c:pt idx="10">
                  <c:v>1573</c:v>
                </c:pt>
                <c:pt idx="11">
                  <c:v>1443</c:v>
                </c:pt>
                <c:pt idx="12">
                  <c:v>954.4</c:v>
                </c:pt>
                <c:pt idx="13">
                  <c:v>717.2</c:v>
                </c:pt>
                <c:pt idx="14">
                  <c:v>416.1</c:v>
                </c:pt>
                <c:pt idx="15">
                  <c:v>287.10000000000002</c:v>
                </c:pt>
                <c:pt idx="16">
                  <c:v>182.5</c:v>
                </c:pt>
                <c:pt idx="17">
                  <c:v>113.4</c:v>
                </c:pt>
                <c:pt idx="18">
                  <c:v>70.94</c:v>
                </c:pt>
                <c:pt idx="19">
                  <c:v>45.38</c:v>
                </c:pt>
                <c:pt idx="20">
                  <c:v>30.44</c:v>
                </c:pt>
                <c:pt idx="21">
                  <c:v>18.47</c:v>
                </c:pt>
                <c:pt idx="22">
                  <c:v>12.7</c:v>
                </c:pt>
                <c:pt idx="23">
                  <c:v>7.9669999999999996</c:v>
                </c:pt>
                <c:pt idx="24">
                  <c:v>5.5789999999999997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922-4407-9255-2A39E6C33C81}"/>
            </c:ext>
          </c:extLst>
        </c:ser>
        <c:ser>
          <c:idx val="3"/>
          <c:order val="3"/>
          <c:tx>
            <c:v>125 degC</c:v>
          </c:tx>
          <c:marker>
            <c:symbol val="none"/>
          </c:marker>
          <c:xVal>
            <c:numRef>
              <c:f>'Thermal Shutdown Limit Plot'!$G$11:$G$30</c:f>
              <c:numCache>
                <c:formatCode>0.00</c:formatCode>
                <c:ptCount val="20"/>
                <c:pt idx="0">
                  <c:v>0.98035890000000003</c:v>
                </c:pt>
                <c:pt idx="1">
                  <c:v>1.0744271999999999</c:v>
                </c:pt>
                <c:pt idx="2">
                  <c:v>1.3924799999999999</c:v>
                </c:pt>
                <c:pt idx="3">
                  <c:v>1.4789298</c:v>
                </c:pt>
                <c:pt idx="4">
                  <c:v>1.5936159999999999</c:v>
                </c:pt>
                <c:pt idx="5">
                  <c:v>1.613016</c:v>
                </c:pt>
                <c:pt idx="6">
                  <c:v>1.6613059999999999</c:v>
                </c:pt>
                <c:pt idx="7">
                  <c:v>1.7863023</c:v>
                </c:pt>
                <c:pt idx="8">
                  <c:v>1.9034899000000001</c:v>
                </c:pt>
                <c:pt idx="9">
                  <c:v>2.0597099999999999</c:v>
                </c:pt>
                <c:pt idx="10">
                  <c:v>2.231055</c:v>
                </c:pt>
                <c:pt idx="11">
                  <c:v>2.62676</c:v>
                </c:pt>
                <c:pt idx="12">
                  <c:v>3.000413</c:v>
                </c:pt>
                <c:pt idx="13">
                  <c:v>3.0914520000000003</c:v>
                </c:pt>
                <c:pt idx="14">
                  <c:v>3.3843150000000004</c:v>
                </c:pt>
                <c:pt idx="15">
                  <c:v>3.5797500000000002</c:v>
                </c:pt>
                <c:pt idx="16">
                  <c:v>3.6126450000000001</c:v>
                </c:pt>
                <c:pt idx="17">
                  <c:v>3.85839</c:v>
                </c:pt>
                <c:pt idx="18">
                  <c:v>4.1931449999999995</c:v>
                </c:pt>
                <c:pt idx="19">
                  <c:v>4.7593800000000002</c:v>
                </c:pt>
              </c:numCache>
            </c:numRef>
          </c:xVal>
          <c:yVal>
            <c:numRef>
              <c:f>'Thermal Shutdown Limit Plot'!$H$11:$H$30</c:f>
              <c:numCache>
                <c:formatCode>0.00</c:formatCode>
                <c:ptCount val="20"/>
                <c:pt idx="0">
                  <c:v>12240</c:v>
                </c:pt>
                <c:pt idx="1">
                  <c:v>9459</c:v>
                </c:pt>
                <c:pt idx="2">
                  <c:v>6395</c:v>
                </c:pt>
                <c:pt idx="3">
                  <c:v>3656</c:v>
                </c:pt>
                <c:pt idx="4">
                  <c:v>2885</c:v>
                </c:pt>
                <c:pt idx="5">
                  <c:v>1736</c:v>
                </c:pt>
                <c:pt idx="6">
                  <c:v>1575</c:v>
                </c:pt>
                <c:pt idx="7">
                  <c:v>1023</c:v>
                </c:pt>
                <c:pt idx="8">
                  <c:v>782.4</c:v>
                </c:pt>
                <c:pt idx="9">
                  <c:v>616</c:v>
                </c:pt>
                <c:pt idx="10">
                  <c:v>352.7</c:v>
                </c:pt>
                <c:pt idx="11">
                  <c:v>241.5</c:v>
                </c:pt>
                <c:pt idx="12">
                  <c:v>117.7</c:v>
                </c:pt>
                <c:pt idx="13">
                  <c:v>85.61</c:v>
                </c:pt>
                <c:pt idx="14">
                  <c:v>63.86</c:v>
                </c:pt>
                <c:pt idx="15">
                  <c:v>49.5</c:v>
                </c:pt>
                <c:pt idx="16">
                  <c:v>36.83</c:v>
                </c:pt>
                <c:pt idx="17">
                  <c:v>29.79</c:v>
                </c:pt>
                <c:pt idx="18">
                  <c:v>24.8</c:v>
                </c:pt>
                <c:pt idx="19">
                  <c:v>16.079999999999998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8922-4407-9255-2A39E6C33C81}"/>
            </c:ext>
          </c:extLst>
        </c:ser>
        <c:ser>
          <c:idx val="4"/>
          <c:order val="4"/>
          <c:tx>
            <c:v>Calculated Point</c:v>
          </c:tx>
          <c:spPr>
            <a:ln>
              <a:solidFill>
                <a:srgbClr val="00FFFF"/>
              </a:solidFill>
            </a:ln>
          </c:spPr>
          <c:marker>
            <c:symbol val="square"/>
            <c:size val="10"/>
          </c:marker>
          <c:dPt>
            <c:idx val="0"/>
            <c:marker>
              <c:spPr>
                <a:solidFill>
                  <a:srgbClr val="FFFF00"/>
                </a:solidFill>
                <a:ln>
                  <a:solidFill>
                    <a:srgbClr val="00FFFF"/>
                  </a:solidFill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4-8922-4407-9255-2A39E6C33C81}"/>
              </c:ext>
            </c:extLst>
          </c:dPt>
          <c:dLbls>
            <c:dLbl>
              <c:idx val="0"/>
              <c:showLegendKey val="0"/>
              <c:showVal val="1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8922-4407-9255-2A39E6C33C8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'Thermal Shutdown Limit Plot'!$B$3</c:f>
              <c:numCache>
                <c:formatCode>0.00</c:formatCode>
                <c:ptCount val="1"/>
                <c:pt idx="0">
                  <c:v>2.4084545454545454</c:v>
                </c:pt>
              </c:numCache>
            </c:numRef>
          </c:xVal>
          <c:yVal>
            <c:numRef>
              <c:f>'Thermal Shutdown Limit Plot'!$C$3</c:f>
              <c:numCache>
                <c:formatCode>0.00</c:formatCode>
                <c:ptCount val="1"/>
                <c:pt idx="0">
                  <c:v>5.9580230196343944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8922-4407-9255-2A39E6C33C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1812864"/>
        <c:axId val="141814784"/>
      </c:scatterChart>
      <c:valAx>
        <c:axId val="141812864"/>
        <c:scaling>
          <c:orientation val="minMax"/>
          <c:max val="20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Power dissipation (W)</a:t>
                </a:r>
              </a:p>
            </c:rich>
          </c:tx>
          <c:layout>
            <c:manualLayout>
              <c:xMode val="edge"/>
              <c:yMode val="edge"/>
              <c:x val="0.38774225083347197"/>
              <c:y val="0.84253686060802468"/>
            </c:manualLayout>
          </c:layout>
          <c:overlay val="0"/>
        </c:title>
        <c:numFmt formatCode="@" sourceLinked="0"/>
        <c:majorTickMark val="out"/>
        <c:minorTickMark val="in"/>
        <c:tickLblPos val="nextTo"/>
        <c:crossAx val="141814784"/>
        <c:crossesAt val="-1"/>
        <c:crossBetween val="midCat"/>
        <c:majorUnit val="2"/>
      </c:valAx>
      <c:valAx>
        <c:axId val="141814784"/>
        <c:scaling>
          <c:logBase val="10"/>
          <c:orientation val="minMax"/>
          <c:max val="100000"/>
        </c:scaling>
        <c:delete val="0"/>
        <c:axPos val="l"/>
        <c:majorGridlines/>
        <c:min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Thermal Shutdown Time (ms)</a:t>
                </a:r>
              </a:p>
            </c:rich>
          </c:tx>
          <c:layout>
            <c:manualLayout>
              <c:xMode val="edge"/>
              <c:yMode val="edge"/>
              <c:x val="8.7477386060916627E-3"/>
              <c:y val="0.19754037518220496"/>
            </c:manualLayout>
          </c:layout>
          <c:overlay val="0"/>
        </c:title>
        <c:numFmt formatCode="0.0" sourceLinked="0"/>
        <c:majorTickMark val="out"/>
        <c:minorTickMark val="in"/>
        <c:tickLblPos val="nextTo"/>
        <c:crossAx val="141812864"/>
        <c:crossesAt val="-0.05"/>
        <c:crossBetween val="midCat"/>
      </c:valAx>
    </c:plotArea>
    <c:legend>
      <c:legendPos val="tr"/>
      <c:layout>
        <c:manualLayout>
          <c:xMode val="edge"/>
          <c:yMode val="edge"/>
          <c:x val="0.84678374822524827"/>
          <c:y val="0.102828490783734"/>
          <c:w val="0.14538245537432382"/>
          <c:h val="0.24105433996058789"/>
        </c:manualLayout>
      </c:layout>
      <c:overlay val="1"/>
    </c:legend>
    <c:plotVisOnly val="1"/>
    <c:dispBlanksAs val="gap"/>
    <c:showDLblsOverMax val="0"/>
  </c:chart>
  <c:printSettings>
    <c:headerFooter/>
    <c:pageMargins b="0.75000000000000155" l="0.70000000000000062" r="0.70000000000000062" t="0.75000000000000155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strRef>
          <c:f>'Thermal Shutdown Limit Plot'!$M$8</c:f>
          <c:strCache>
            <c:ptCount val="1"/>
            <c:pt idx="0">
              <c:v>Thermal Shutdown Time Vs. Power Dissipation</c:v>
            </c:pt>
          </c:strCache>
        </c:strRef>
      </c:tx>
      <c:layout>
        <c:manualLayout>
          <c:xMode val="edge"/>
          <c:yMode val="edge"/>
          <c:x val="0.22998655195363296"/>
          <c:y val="0"/>
        </c:manualLayout>
      </c:layout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290427794390517"/>
          <c:y val="6.7561626812458503E-2"/>
          <c:w val="0.73209137791280654"/>
          <c:h val="0.7318493072414991"/>
        </c:manualLayout>
      </c:layout>
      <c:scatterChart>
        <c:scatterStyle val="smoothMarker"/>
        <c:varyColors val="0"/>
        <c:ser>
          <c:idx val="0"/>
          <c:order val="0"/>
          <c:tx>
            <c:v>-40 degC</c:v>
          </c:tx>
          <c:marker>
            <c:symbol val="none"/>
          </c:marker>
          <c:xVal>
            <c:numRef>
              <c:f>'Thermal Shutdown Limit Plot'!$A$48:$A$74</c:f>
            </c:numRef>
          </c:xVal>
          <c:yVal>
            <c:numRef>
              <c:f>'Thermal Shutdown Limit Plot'!$B$48:$B$74</c:f>
            </c:numRef>
          </c:yVal>
          <c:smooth val="1"/>
          <c:extLst>
            <c:ext xmlns:c16="http://schemas.microsoft.com/office/drawing/2014/chart" uri="{C3380CC4-5D6E-409C-BE32-E72D297353CC}">
              <c16:uniqueId val="{00000000-CAFC-4190-A6BA-B3119F89473D}"/>
            </c:ext>
          </c:extLst>
        </c:ser>
        <c:ser>
          <c:idx val="1"/>
          <c:order val="1"/>
          <c:tx>
            <c:v>25 degC</c:v>
          </c:tx>
          <c:marker>
            <c:symbol val="none"/>
          </c:marker>
          <c:xVal>
            <c:numRef>
              <c:f>'Thermal Shutdown Limit Plot'!$C$48:$C$74</c:f>
            </c:numRef>
          </c:xVal>
          <c:yVal>
            <c:numRef>
              <c:f>'Thermal Shutdown Limit Plot'!$D$48:$D$74</c:f>
            </c:numRef>
          </c:yVal>
          <c:smooth val="1"/>
          <c:extLst>
            <c:ext xmlns:c16="http://schemas.microsoft.com/office/drawing/2014/chart" uri="{C3380CC4-5D6E-409C-BE32-E72D297353CC}">
              <c16:uniqueId val="{00000001-CAFC-4190-A6BA-B3119F89473D}"/>
            </c:ext>
          </c:extLst>
        </c:ser>
        <c:ser>
          <c:idx val="2"/>
          <c:order val="2"/>
          <c:tx>
            <c:v>85 degC</c:v>
          </c:tx>
          <c:marker>
            <c:symbol val="none"/>
          </c:marker>
          <c:xVal>
            <c:numRef>
              <c:f>'Thermal Shutdown Limit Plot'!$E$48:$E$70</c:f>
            </c:numRef>
          </c:xVal>
          <c:yVal>
            <c:numRef>
              <c:f>'Thermal Shutdown Limit Plot'!$F$48:$F$70</c:f>
            </c:numRef>
          </c:yVal>
          <c:smooth val="1"/>
          <c:extLst>
            <c:ext xmlns:c16="http://schemas.microsoft.com/office/drawing/2014/chart" uri="{C3380CC4-5D6E-409C-BE32-E72D297353CC}">
              <c16:uniqueId val="{00000002-CAFC-4190-A6BA-B3119F89473D}"/>
            </c:ext>
          </c:extLst>
        </c:ser>
        <c:ser>
          <c:idx val="3"/>
          <c:order val="3"/>
          <c:tx>
            <c:v>125 degC</c:v>
          </c:tx>
          <c:marker>
            <c:symbol val="none"/>
          </c:marker>
          <c:xVal>
            <c:numRef>
              <c:f>'Thermal Shutdown Limit Plot'!$G$48:$G$72</c:f>
            </c:numRef>
          </c:xVal>
          <c:yVal>
            <c:numRef>
              <c:f>'Thermal Shutdown Limit Plot'!$H$48:$H$72</c:f>
            </c:numRef>
          </c:yVal>
          <c:smooth val="1"/>
          <c:extLst>
            <c:ext xmlns:c16="http://schemas.microsoft.com/office/drawing/2014/chart" uri="{C3380CC4-5D6E-409C-BE32-E72D297353CC}">
              <c16:uniqueId val="{00000003-CAFC-4190-A6BA-B3119F89473D}"/>
            </c:ext>
          </c:extLst>
        </c:ser>
        <c:ser>
          <c:idx val="4"/>
          <c:order val="4"/>
          <c:tx>
            <c:v>Calculated Value</c:v>
          </c:tx>
          <c:marker>
            <c:symbol val="square"/>
            <c:size val="10"/>
            <c:spPr>
              <a:solidFill>
                <a:srgbClr val="FFFF00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b="1"/>
                </a:pPr>
                <a:endParaRPr lang="en-US"/>
              </a:p>
            </c:txPr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yVal>
            <c:numRef>
              <c:f>'Thermal Shutdown Limit Plot'!$C$3</c:f>
              <c:numCache>
                <c:formatCode>0.00</c:formatCode>
                <c:ptCount val="1"/>
                <c:pt idx="0">
                  <c:v>5.9580230196343944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AFC-4190-A6BA-B3119F8947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2384512"/>
        <c:axId val="142394880"/>
      </c:scatterChart>
      <c:valAx>
        <c:axId val="142384512"/>
        <c:scaling>
          <c:orientation val="minMax"/>
          <c:max val="20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 sz="1400"/>
                </a:pPr>
                <a:r>
                  <a:rPr lang="en-US" sz="1400"/>
                  <a:t>Power dissipation (W)</a:t>
                </a:r>
              </a:p>
            </c:rich>
          </c:tx>
          <c:layout>
            <c:manualLayout>
              <c:xMode val="edge"/>
              <c:yMode val="edge"/>
              <c:x val="0.38774225083347197"/>
              <c:y val="0.84253686060802468"/>
            </c:manualLayout>
          </c:layout>
          <c:overlay val="0"/>
        </c:title>
        <c:numFmt formatCode="@" sourceLinked="0"/>
        <c:majorTickMark val="out"/>
        <c:minorTickMark val="in"/>
        <c:tickLblPos val="nextTo"/>
        <c:crossAx val="142394880"/>
        <c:crossesAt val="-1"/>
        <c:crossBetween val="midCat"/>
        <c:majorUnit val="2"/>
      </c:valAx>
      <c:valAx>
        <c:axId val="142394880"/>
        <c:scaling>
          <c:logBase val="10"/>
          <c:orientation val="minMax"/>
          <c:max val="100000"/>
        </c:scaling>
        <c:delete val="0"/>
        <c:axPos val="l"/>
        <c:majorGridlines/>
        <c:minorGridlines/>
        <c:title>
          <c:tx>
            <c:rich>
              <a:bodyPr rot="-5400000" vert="horz"/>
              <a:lstStyle/>
              <a:p>
                <a:pPr>
                  <a:defRPr sz="1400"/>
                </a:pPr>
                <a:r>
                  <a:rPr lang="en-US" sz="1400"/>
                  <a:t>Thermal Shutdown Time (ms)</a:t>
                </a:r>
              </a:p>
            </c:rich>
          </c:tx>
          <c:layout>
            <c:manualLayout>
              <c:xMode val="edge"/>
              <c:yMode val="edge"/>
              <c:x val="8.7477386060916627E-3"/>
              <c:y val="0.19754037518220496"/>
            </c:manualLayout>
          </c:layout>
          <c:overlay val="0"/>
        </c:title>
        <c:numFmt formatCode="0.0" sourceLinked="0"/>
        <c:majorTickMark val="out"/>
        <c:minorTickMark val="in"/>
        <c:tickLblPos val="nextTo"/>
        <c:crossAx val="142384512"/>
        <c:crossesAt val="-0.05"/>
        <c:crossBetween val="midCat"/>
      </c:valAx>
    </c:plotArea>
    <c:legend>
      <c:legendPos val="tr"/>
      <c:layout>
        <c:manualLayout>
          <c:xMode val="edge"/>
          <c:yMode val="edge"/>
          <c:x val="0.84678374822524827"/>
          <c:y val="0.102828490783734"/>
          <c:w val="0.14787691975847919"/>
          <c:h val="0.24105439056494055"/>
        </c:manualLayout>
      </c:layout>
      <c:overlay val="1"/>
    </c:legend>
    <c:plotVisOnly val="1"/>
    <c:dispBlanksAs val="gap"/>
    <c:showDLblsOverMax val="0"/>
  </c:chart>
  <c:printSettings>
    <c:headerFooter/>
    <c:pageMargins b="0.75000000000000155" l="0.70000000000000062" r="0.70000000000000062" t="0.75000000000000155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147124</xdr:colOff>
      <xdr:row>27</xdr:row>
      <xdr:rowOff>176157</xdr:rowOff>
    </xdr:from>
    <xdr:to>
      <xdr:col>13</xdr:col>
      <xdr:colOff>10886</xdr:colOff>
      <xdr:row>37</xdr:row>
      <xdr:rowOff>55244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162327</xdr:colOff>
      <xdr:row>55</xdr:row>
      <xdr:rowOff>238080</xdr:rowOff>
    </xdr:from>
    <xdr:to>
      <xdr:col>13</xdr:col>
      <xdr:colOff>17929</xdr:colOff>
      <xdr:row>63</xdr:row>
      <xdr:rowOff>236797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175710</xdr:colOff>
      <xdr:row>41</xdr:row>
      <xdr:rowOff>119743</xdr:rowOff>
    </xdr:from>
    <xdr:to>
      <xdr:col>13</xdr:col>
      <xdr:colOff>35859</xdr:colOff>
      <xdr:row>54</xdr:row>
      <xdr:rowOff>195943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7</xdr:col>
      <xdr:colOff>125506</xdr:colOff>
      <xdr:row>0</xdr:row>
      <xdr:rowOff>17930</xdr:rowOff>
    </xdr:from>
    <xdr:to>
      <xdr:col>10</xdr:col>
      <xdr:colOff>1620932</xdr:colOff>
      <xdr:row>40</xdr:row>
      <xdr:rowOff>49307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9726706" y="17930"/>
          <a:ext cx="5414683" cy="5647765"/>
        </a:xfrm>
        <a:prstGeom prst="rect">
          <a:avLst/>
        </a:prstGeom>
        <a:ln>
          <a:solidFill>
            <a:srgbClr val="0000FF"/>
          </a:solidFill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649941</xdr:colOff>
      <xdr:row>12</xdr:row>
      <xdr:rowOff>137496</xdr:rowOff>
    </xdr:from>
    <xdr:to>
      <xdr:col>22</xdr:col>
      <xdr:colOff>283060</xdr:colOff>
      <xdr:row>39</xdr:row>
      <xdr:rowOff>60065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649941</xdr:colOff>
      <xdr:row>49</xdr:row>
      <xdr:rowOff>137496</xdr:rowOff>
    </xdr:from>
    <xdr:to>
      <xdr:col>22</xdr:col>
      <xdr:colOff>283060</xdr:colOff>
      <xdr:row>76</xdr:row>
      <xdr:rowOff>60065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394447</xdr:colOff>
      <xdr:row>40</xdr:row>
      <xdr:rowOff>71717</xdr:rowOff>
    </xdr:from>
    <xdr:to>
      <xdr:col>14</xdr:col>
      <xdr:colOff>365760</xdr:colOff>
      <xdr:row>42</xdr:row>
      <xdr:rowOff>42133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 txBox="1"/>
      </xdr:nvSpPr>
      <xdr:spPr>
        <a:xfrm>
          <a:off x="4473388" y="7306235"/>
          <a:ext cx="6981713" cy="32900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 b="1" i="0" u="none" strike="noStrike" baseline="0">
              <a:solidFill>
                <a:srgbClr val="FF0000"/>
              </a:solidFill>
              <a:latin typeface="+mn-lt"/>
              <a:ea typeface="+mn-ea"/>
              <a:cs typeface="+mn-cs"/>
            </a:rPr>
            <a:t>Taken on 1-Layer board, 2oz.(0.08-mm thick) with GND plane area: TBD cm</a:t>
          </a:r>
          <a:r>
            <a:rPr lang="en-US" sz="1200" b="1" i="0" u="none" strike="noStrike" baseline="30000">
              <a:solidFill>
                <a:srgbClr val="FF0000"/>
              </a:solidFill>
              <a:latin typeface="+mn-lt"/>
              <a:ea typeface="+mn-ea"/>
              <a:cs typeface="+mn-cs"/>
            </a:rPr>
            <a:t>2 </a:t>
          </a:r>
          <a:r>
            <a:rPr lang="en-US" sz="1200" b="1" i="0" u="none" strike="noStrike" baseline="0">
              <a:solidFill>
                <a:srgbClr val="FF0000"/>
              </a:solidFill>
              <a:latin typeface="+mn-lt"/>
              <a:ea typeface="+mn-ea"/>
              <a:cs typeface="+mn-cs"/>
            </a:rPr>
            <a:t>(Top) and TBD</a:t>
          </a:r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+mn-lt"/>
              <a:ea typeface="+mn-ea"/>
              <a:cs typeface="+mn-cs"/>
            </a:rPr>
            <a:t> cm</a:t>
          </a:r>
          <a:r>
            <a:rPr kumimoji="0" lang="en-US" sz="1200" b="1" i="0" u="none" strike="noStrike" kern="0" cap="none" spc="0" normalizeH="0" baseline="3000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+mn-lt"/>
              <a:ea typeface="+mn-ea"/>
              <a:cs typeface="+mn-cs"/>
            </a:rPr>
            <a:t>2 </a:t>
          </a:r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+mn-lt"/>
              <a:ea typeface="+mn-ea"/>
              <a:cs typeface="+mn-cs"/>
            </a:rPr>
            <a:t>(Bottom)</a:t>
          </a:r>
          <a:endParaRPr lang="en-US" sz="1200" b="1">
            <a:solidFill>
              <a:srgbClr val="FF0000"/>
            </a:solidFill>
          </a:endParaRPr>
        </a:p>
      </xdr:txBody>
    </xdr:sp>
    <xdr:clientData/>
  </xdr:twoCellAnchor>
  <xdr:twoCellAnchor>
    <xdr:from>
      <xdr:col>10</xdr:col>
      <xdr:colOff>448235</xdr:colOff>
      <xdr:row>79</xdr:row>
      <xdr:rowOff>134471</xdr:rowOff>
    </xdr:from>
    <xdr:to>
      <xdr:col>21</xdr:col>
      <xdr:colOff>7172</xdr:colOff>
      <xdr:row>81</xdr:row>
      <xdr:rowOff>104887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 txBox="1"/>
      </xdr:nvSpPr>
      <xdr:spPr>
        <a:xfrm>
          <a:off x="8830235" y="7189695"/>
          <a:ext cx="6981713" cy="32900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 b="1" i="0" u="none" strike="noStrike" baseline="0">
              <a:solidFill>
                <a:srgbClr val="FF0000"/>
              </a:solidFill>
              <a:latin typeface="+mn-lt"/>
              <a:ea typeface="+mn-ea"/>
              <a:cs typeface="+mn-cs"/>
            </a:rPr>
            <a:t>Taken on 2-Layer board, 2oz.(0.08-mm thick) with GND plane area: 4.93 cm</a:t>
          </a:r>
          <a:r>
            <a:rPr lang="en-US" sz="1200" b="1" i="0" u="none" strike="noStrike" baseline="30000">
              <a:solidFill>
                <a:srgbClr val="FF0000"/>
              </a:solidFill>
              <a:latin typeface="+mn-lt"/>
              <a:ea typeface="+mn-ea"/>
              <a:cs typeface="+mn-cs"/>
            </a:rPr>
            <a:t>2 </a:t>
          </a:r>
          <a:r>
            <a:rPr lang="en-US" sz="1200" b="1" i="0" u="none" strike="noStrike" baseline="0">
              <a:solidFill>
                <a:srgbClr val="FF0000"/>
              </a:solidFill>
              <a:latin typeface="+mn-lt"/>
              <a:ea typeface="+mn-ea"/>
              <a:cs typeface="+mn-cs"/>
            </a:rPr>
            <a:t>(Top) and 1</a:t>
          </a:r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+mn-lt"/>
              <a:ea typeface="+mn-ea"/>
              <a:cs typeface="+mn-cs"/>
            </a:rPr>
            <a:t> cm</a:t>
          </a:r>
          <a:r>
            <a:rPr kumimoji="0" lang="en-US" sz="1200" b="1" i="0" u="none" strike="noStrike" kern="0" cap="none" spc="0" normalizeH="0" baseline="3000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+mn-lt"/>
              <a:ea typeface="+mn-ea"/>
              <a:cs typeface="+mn-cs"/>
            </a:rPr>
            <a:t>2 </a:t>
          </a:r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+mn-lt"/>
              <a:ea typeface="+mn-ea"/>
              <a:cs typeface="+mn-cs"/>
            </a:rPr>
            <a:t>(Bottom)</a:t>
          </a:r>
          <a:endParaRPr lang="en-US" sz="1200" b="1">
            <a:solidFill>
              <a:srgbClr val="FF0000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www.ti.com/lit/gpn/tps2596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hyperlink" Target="http://www.rfcafe.com/references/electrical/capacitor-values.ht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1:T108"/>
  <sheetViews>
    <sheetView showGridLines="0" tabSelected="1" zoomScale="85" zoomScaleNormal="85" workbookViewId="0">
      <selection activeCell="D22" sqref="D22"/>
    </sheetView>
  </sheetViews>
  <sheetFormatPr defaultColWidth="9.140625" defaultRowHeight="18" customHeight="1" x14ac:dyDescent="0.25"/>
  <cols>
    <col min="1" max="1" width="2.42578125" style="17" customWidth="1"/>
    <col min="2" max="2" width="26.28515625" style="17" customWidth="1"/>
    <col min="3" max="3" width="64.140625" style="41" customWidth="1"/>
    <col min="4" max="4" width="14.42578125" style="18" bestFit="1" customWidth="1"/>
    <col min="5" max="5" width="7.85546875" style="17" bestFit="1" customWidth="1"/>
    <col min="6" max="6" width="9.140625" style="19" bestFit="1" customWidth="1"/>
    <col min="7" max="7" width="15.7109375" style="24" customWidth="1"/>
    <col min="8" max="8" width="9.140625" style="17"/>
    <col min="9" max="9" width="11.5703125" style="17" bestFit="1" customWidth="1"/>
    <col min="10" max="10" width="36.140625" style="17" bestFit="1" customWidth="1"/>
    <col min="11" max="11" width="24.28515625" style="17" customWidth="1"/>
    <col min="12" max="12" width="9.140625" style="17" hidden="1" customWidth="1"/>
    <col min="13" max="13" width="10.85546875" style="17" hidden="1" customWidth="1"/>
    <col min="14" max="14" width="15.7109375" style="17" customWidth="1"/>
    <col min="15" max="15" width="36.140625" style="17" bestFit="1" customWidth="1"/>
    <col min="16" max="16" width="13.5703125" style="17" customWidth="1"/>
    <col min="17" max="17" width="5.140625" style="17" bestFit="1" customWidth="1"/>
    <col min="18" max="18" width="13.5703125" style="19" bestFit="1" customWidth="1"/>
    <col min="19" max="19" width="14.42578125" style="19" bestFit="1" customWidth="1"/>
    <col min="20" max="16384" width="9.140625" style="17"/>
  </cols>
  <sheetData>
    <row r="1" spans="2:20" ht="18" customHeight="1" x14ac:dyDescent="0.25">
      <c r="B1" s="232" t="s">
        <v>187</v>
      </c>
      <c r="C1" s="233"/>
      <c r="D1" s="233"/>
      <c r="E1" s="233"/>
      <c r="F1" s="233"/>
      <c r="G1" s="233"/>
      <c r="N1" s="221" t="s">
        <v>139</v>
      </c>
      <c r="O1" s="221"/>
      <c r="P1" s="221"/>
    </row>
    <row r="2" spans="2:20" ht="60" x14ac:dyDescent="0.25">
      <c r="B2" s="64"/>
      <c r="C2" s="64"/>
      <c r="N2" s="143" t="s">
        <v>205</v>
      </c>
      <c r="O2" s="143" t="s">
        <v>204</v>
      </c>
      <c r="P2" s="143" t="s">
        <v>203</v>
      </c>
    </row>
    <row r="3" spans="2:20" ht="18" customHeight="1" x14ac:dyDescent="0.25">
      <c r="B3" s="121"/>
      <c r="C3" s="66" t="s">
        <v>43</v>
      </c>
      <c r="N3" s="144" t="s">
        <v>155</v>
      </c>
      <c r="O3" s="145" t="s">
        <v>206</v>
      </c>
      <c r="P3" s="145" t="s">
        <v>113</v>
      </c>
    </row>
    <row r="4" spans="2:20" ht="18" customHeight="1" x14ac:dyDescent="0.25">
      <c r="B4" s="40"/>
      <c r="C4" s="63" t="s">
        <v>44</v>
      </c>
      <c r="N4" s="146" t="s">
        <v>156</v>
      </c>
      <c r="O4" s="145" t="s">
        <v>206</v>
      </c>
      <c r="P4" s="147" t="s">
        <v>114</v>
      </c>
    </row>
    <row r="5" spans="2:20" ht="18" customHeight="1" x14ac:dyDescent="0.25">
      <c r="B5" s="20"/>
      <c r="C5" s="67" t="s">
        <v>45</v>
      </c>
      <c r="N5" s="144" t="s">
        <v>157</v>
      </c>
      <c r="O5" s="145" t="s">
        <v>158</v>
      </c>
      <c r="P5" s="145" t="s">
        <v>113</v>
      </c>
    </row>
    <row r="6" spans="2:20" ht="17.45" customHeight="1" x14ac:dyDescent="0.25">
      <c r="B6" s="42"/>
      <c r="C6" s="63" t="s">
        <v>82</v>
      </c>
      <c r="D6" s="65"/>
      <c r="G6" s="65"/>
      <c r="M6" s="148"/>
      <c r="N6" s="146" t="s">
        <v>112</v>
      </c>
      <c r="O6" s="145" t="s">
        <v>158</v>
      </c>
      <c r="P6" s="147" t="s">
        <v>114</v>
      </c>
      <c r="T6" s="149"/>
    </row>
    <row r="7" spans="2:20" ht="18" customHeight="1" x14ac:dyDescent="0.25">
      <c r="B7" s="61"/>
      <c r="C7" s="68" t="s">
        <v>140</v>
      </c>
      <c r="G7" s="65"/>
      <c r="M7" s="150"/>
      <c r="N7" s="149"/>
      <c r="O7" s="19"/>
      <c r="P7" s="19"/>
      <c r="T7" s="19"/>
    </row>
    <row r="8" spans="2:20" ht="18" customHeight="1" thickBot="1" x14ac:dyDescent="0.3">
      <c r="B8" s="54"/>
      <c r="C8" s="55"/>
      <c r="D8" s="56"/>
      <c r="E8" s="57"/>
      <c r="F8" s="58"/>
      <c r="G8" s="53"/>
      <c r="M8" s="150"/>
      <c r="N8" s="149"/>
      <c r="O8" s="19"/>
      <c r="P8" s="19"/>
      <c r="T8" s="19"/>
    </row>
    <row r="9" spans="2:20" ht="30.75" thickBot="1" x14ac:dyDescent="0.3">
      <c r="B9" s="76" t="s">
        <v>0</v>
      </c>
      <c r="C9" s="77" t="s">
        <v>1</v>
      </c>
      <c r="D9" s="139" t="s">
        <v>2</v>
      </c>
      <c r="E9" s="140" t="s">
        <v>3</v>
      </c>
      <c r="F9" s="78" t="s">
        <v>63</v>
      </c>
      <c r="G9" s="202" t="s">
        <v>212</v>
      </c>
      <c r="M9" s="151"/>
      <c r="N9" s="149"/>
      <c r="O9" s="19"/>
      <c r="P9" s="19"/>
      <c r="T9" s="19"/>
    </row>
    <row r="10" spans="2:20" ht="30" x14ac:dyDescent="0.25">
      <c r="B10" s="91" t="s">
        <v>159</v>
      </c>
      <c r="C10" s="95" t="s">
        <v>160</v>
      </c>
      <c r="D10" s="208" t="s">
        <v>157</v>
      </c>
      <c r="E10" s="79"/>
      <c r="F10" s="102"/>
      <c r="G10" s="138"/>
      <c r="M10" s="152"/>
      <c r="N10" s="149"/>
      <c r="O10" s="19"/>
      <c r="P10" s="19"/>
      <c r="T10" s="19"/>
    </row>
    <row r="11" spans="2:20" ht="15" hidden="1" x14ac:dyDescent="0.25">
      <c r="B11" s="92" t="s">
        <v>97</v>
      </c>
      <c r="C11" s="96" t="s">
        <v>154</v>
      </c>
      <c r="D11" s="209">
        <v>12</v>
      </c>
      <c r="E11" s="21" t="s">
        <v>6</v>
      </c>
      <c r="F11" s="27"/>
      <c r="M11" s="151"/>
      <c r="N11" s="58"/>
      <c r="O11" s="58"/>
      <c r="T11" s="19"/>
    </row>
    <row r="12" spans="2:20" ht="15" x14ac:dyDescent="0.25">
      <c r="B12" s="92" t="s">
        <v>97</v>
      </c>
      <c r="C12" s="96" t="s">
        <v>154</v>
      </c>
      <c r="D12" s="209">
        <v>12</v>
      </c>
      <c r="E12" s="21" t="s">
        <v>6</v>
      </c>
      <c r="F12" s="27"/>
      <c r="T12" s="19"/>
    </row>
    <row r="13" spans="2:20" ht="15" hidden="1" x14ac:dyDescent="0.25">
      <c r="B13" s="92" t="s">
        <v>180</v>
      </c>
      <c r="C13" s="96" t="s">
        <v>181</v>
      </c>
      <c r="D13" s="210">
        <f>IF(D10=N3,D11, IF(D10=N4,D11, IF(D10=N5,D12, IF(D10=N6,D12))))</f>
        <v>12</v>
      </c>
      <c r="E13" s="21" t="s">
        <v>6</v>
      </c>
      <c r="F13" s="27"/>
      <c r="I13" s="153"/>
      <c r="J13" s="150"/>
      <c r="K13" s="151"/>
      <c r="L13" s="151"/>
      <c r="M13" s="151"/>
      <c r="N13" s="58"/>
      <c r="O13" s="58"/>
      <c r="T13" s="19"/>
    </row>
    <row r="14" spans="2:20" hidden="1" x14ac:dyDescent="0.25">
      <c r="B14" s="92" t="s">
        <v>214</v>
      </c>
      <c r="C14" s="96" t="s">
        <v>168</v>
      </c>
      <c r="D14" s="209">
        <v>13.58</v>
      </c>
      <c r="E14" s="22" t="s">
        <v>6</v>
      </c>
      <c r="F14" s="125">
        <v>3.5000000000000003E-2</v>
      </c>
      <c r="I14" s="153"/>
      <c r="J14" s="150"/>
      <c r="K14" s="151"/>
      <c r="L14" s="151"/>
      <c r="M14" s="151"/>
      <c r="N14" s="58"/>
      <c r="O14" s="58"/>
      <c r="T14" s="19"/>
    </row>
    <row r="15" spans="2:20" ht="15.75" x14ac:dyDescent="0.25">
      <c r="B15" s="92" t="s">
        <v>161</v>
      </c>
      <c r="C15" s="96" t="s">
        <v>167</v>
      </c>
      <c r="D15" s="209">
        <v>13</v>
      </c>
      <c r="E15" s="22" t="s">
        <v>6</v>
      </c>
      <c r="F15" s="125">
        <v>0.03</v>
      </c>
      <c r="I15" s="154" t="s">
        <v>162</v>
      </c>
      <c r="J15" s="155">
        <v>3.59</v>
      </c>
      <c r="K15" s="156">
        <v>5.45</v>
      </c>
      <c r="L15" s="156">
        <v>13.58</v>
      </c>
      <c r="M15" s="151"/>
      <c r="N15" s="58"/>
      <c r="O15" s="58"/>
      <c r="T15" s="19"/>
    </row>
    <row r="16" spans="2:20" ht="15.75" hidden="1" x14ac:dyDescent="0.25">
      <c r="B16" s="92" t="s">
        <v>213</v>
      </c>
      <c r="C16" s="96" t="s">
        <v>169</v>
      </c>
      <c r="D16" s="209">
        <v>8</v>
      </c>
      <c r="E16" s="21" t="s">
        <v>6</v>
      </c>
      <c r="F16" s="125">
        <v>0.03</v>
      </c>
      <c r="I16" s="157" t="s">
        <v>163</v>
      </c>
      <c r="J16" s="155" t="s">
        <v>165</v>
      </c>
      <c r="K16" s="155">
        <v>400</v>
      </c>
      <c r="L16" s="155" t="s">
        <v>166</v>
      </c>
      <c r="M16" s="150"/>
      <c r="T16" s="19"/>
    </row>
    <row r="17" spans="2:20" ht="15.75" x14ac:dyDescent="0.25">
      <c r="B17" s="92" t="s">
        <v>213</v>
      </c>
      <c r="C17" s="96" t="s">
        <v>169</v>
      </c>
      <c r="D17" s="209">
        <v>10</v>
      </c>
      <c r="E17" s="21" t="s">
        <v>6</v>
      </c>
      <c r="F17" s="125">
        <v>0.03</v>
      </c>
      <c r="M17" s="158"/>
      <c r="R17" s="159"/>
      <c r="S17" s="159"/>
      <c r="T17" s="19"/>
    </row>
    <row r="18" spans="2:20" ht="34.15" customHeight="1" x14ac:dyDescent="0.25">
      <c r="B18" s="92" t="s">
        <v>141</v>
      </c>
      <c r="C18" s="131" t="s">
        <v>142</v>
      </c>
      <c r="D18" s="211">
        <v>2.5299999999999998</v>
      </c>
      <c r="E18" s="21" t="s">
        <v>6</v>
      </c>
      <c r="F18" s="125">
        <v>0.03</v>
      </c>
      <c r="G18" s="193"/>
      <c r="M18" s="153"/>
      <c r="N18" s="151"/>
      <c r="O18" s="152"/>
      <c r="P18" s="151"/>
      <c r="Q18" s="151"/>
      <c r="R18" s="58"/>
      <c r="S18" s="58"/>
      <c r="T18" s="19"/>
    </row>
    <row r="19" spans="2:20" ht="18" customHeight="1" x14ac:dyDescent="0.25">
      <c r="B19" s="92" t="s">
        <v>9</v>
      </c>
      <c r="C19" s="96" t="s">
        <v>10</v>
      </c>
      <c r="D19" s="186">
        <v>100</v>
      </c>
      <c r="E19" s="21" t="s">
        <v>11</v>
      </c>
      <c r="F19" s="141">
        <v>0.1</v>
      </c>
      <c r="G19" s="193"/>
      <c r="M19" s="158"/>
      <c r="N19" s="150"/>
      <c r="O19" s="150"/>
      <c r="P19" s="150"/>
      <c r="Q19" s="152"/>
      <c r="R19" s="159"/>
      <c r="S19" s="159"/>
      <c r="T19" s="19"/>
    </row>
    <row r="20" spans="2:20" ht="30" x14ac:dyDescent="0.25">
      <c r="B20" s="92" t="s">
        <v>48</v>
      </c>
      <c r="C20" s="97" t="s">
        <v>207</v>
      </c>
      <c r="D20" s="186">
        <v>20</v>
      </c>
      <c r="E20" s="21" t="s">
        <v>49</v>
      </c>
      <c r="F20" s="27"/>
      <c r="G20" s="203">
        <f>Vcc_max/Imax</f>
        <v>12</v>
      </c>
      <c r="M20" s="153"/>
      <c r="N20" s="151"/>
      <c r="O20" s="151"/>
      <c r="P20" s="151"/>
      <c r="Q20" s="151"/>
      <c r="R20" s="58"/>
      <c r="S20" s="58"/>
      <c r="T20" s="19"/>
    </row>
    <row r="21" spans="2:20" ht="18" customHeight="1" x14ac:dyDescent="0.25">
      <c r="B21" s="92" t="s">
        <v>12</v>
      </c>
      <c r="C21" s="96" t="s">
        <v>13</v>
      </c>
      <c r="D21" s="209">
        <v>1</v>
      </c>
      <c r="E21" s="21" t="s">
        <v>4</v>
      </c>
      <c r="F21" s="27"/>
      <c r="G21" s="193"/>
      <c r="M21" s="158"/>
      <c r="N21" s="150"/>
      <c r="O21" s="150"/>
      <c r="P21" s="150"/>
      <c r="Q21" s="150"/>
      <c r="R21" s="159"/>
      <c r="S21" s="159"/>
      <c r="T21" s="19"/>
    </row>
    <row r="22" spans="2:20" ht="18" customHeight="1" x14ac:dyDescent="0.25">
      <c r="B22" s="92" t="s">
        <v>14</v>
      </c>
      <c r="C22" s="96" t="s">
        <v>216</v>
      </c>
      <c r="D22" s="212">
        <f>IF(1.105*Imax&lt;0.125, 0.125, IF(1.105*Imax&gt;2, 2,1.105*Imax ))</f>
        <v>1.105</v>
      </c>
      <c r="E22" s="50" t="s">
        <v>4</v>
      </c>
      <c r="F22" s="27"/>
      <c r="G22" s="193"/>
      <c r="M22" s="153"/>
      <c r="N22" s="151"/>
      <c r="O22" s="151"/>
      <c r="P22" s="151"/>
      <c r="Q22" s="151"/>
      <c r="R22" s="58"/>
      <c r="S22" s="58"/>
      <c r="T22" s="19"/>
    </row>
    <row r="23" spans="2:20" ht="18" customHeight="1" thickBot="1" x14ac:dyDescent="0.3">
      <c r="B23" s="93" t="s">
        <v>195</v>
      </c>
      <c r="C23" s="98" t="s">
        <v>196</v>
      </c>
      <c r="D23" s="213">
        <v>55</v>
      </c>
      <c r="E23" s="59" t="s">
        <v>197</v>
      </c>
      <c r="F23" s="60"/>
      <c r="G23" s="193"/>
      <c r="M23" s="153"/>
      <c r="N23" s="151"/>
      <c r="O23" s="151"/>
      <c r="P23" s="151"/>
      <c r="Q23" s="151"/>
      <c r="R23" s="58"/>
      <c r="S23" s="58"/>
      <c r="T23" s="19"/>
    </row>
    <row r="24" spans="2:20" ht="18" hidden="1" customHeight="1" thickBot="1" x14ac:dyDescent="0.3">
      <c r="B24" s="94" t="s">
        <v>198</v>
      </c>
      <c r="C24" s="99" t="s">
        <v>200</v>
      </c>
      <c r="D24" s="100"/>
      <c r="E24" s="72" t="s">
        <v>199</v>
      </c>
      <c r="F24" s="192"/>
      <c r="G24" s="193"/>
      <c r="M24" s="153"/>
      <c r="N24" s="151"/>
      <c r="O24" s="151"/>
      <c r="P24" s="151"/>
      <c r="Q24" s="151"/>
      <c r="R24" s="58"/>
      <c r="S24" s="58"/>
      <c r="T24" s="19"/>
    </row>
    <row r="25" spans="2:20" ht="18" customHeight="1" x14ac:dyDescent="0.25">
      <c r="C25" s="17"/>
      <c r="D25" s="17"/>
      <c r="G25" s="193"/>
      <c r="M25" s="158"/>
      <c r="N25" s="150"/>
      <c r="O25" s="150"/>
      <c r="P25" s="150"/>
      <c r="Q25" s="150"/>
      <c r="R25" s="159"/>
      <c r="S25" s="159"/>
      <c r="T25" s="19"/>
    </row>
    <row r="26" spans="2:20" ht="18" hidden="1" customHeight="1" thickBot="1" x14ac:dyDescent="0.3">
      <c r="C26" s="17"/>
      <c r="D26" s="17"/>
      <c r="G26" s="193"/>
      <c r="M26" s="158"/>
      <c r="N26" s="150"/>
      <c r="O26" s="150"/>
      <c r="P26" s="150"/>
      <c r="Q26" s="150"/>
      <c r="R26" s="159"/>
      <c r="S26" s="159"/>
      <c r="T26" s="19"/>
    </row>
    <row r="27" spans="2:20" ht="18" hidden="1" customHeight="1" thickBot="1" x14ac:dyDescent="0.3">
      <c r="B27" s="225" t="s">
        <v>184</v>
      </c>
      <c r="C27" s="226"/>
      <c r="D27" s="160"/>
      <c r="E27" s="161"/>
      <c r="F27" s="162"/>
      <c r="G27" s="193"/>
      <c r="M27" s="3"/>
      <c r="N27" s="3"/>
      <c r="O27" s="3"/>
      <c r="P27" s="3"/>
      <c r="Q27" s="3"/>
    </row>
    <row r="28" spans="2:20" ht="18" hidden="1" customHeight="1" x14ac:dyDescent="0.25">
      <c r="B28" s="110" t="s">
        <v>105</v>
      </c>
      <c r="C28" s="111" t="s">
        <v>106</v>
      </c>
      <c r="D28" s="207">
        <f>D14</f>
        <v>13.58</v>
      </c>
      <c r="E28" s="101" t="s">
        <v>6</v>
      </c>
      <c r="F28" s="125">
        <v>3.5000000000000003E-2</v>
      </c>
      <c r="G28" s="193"/>
      <c r="M28" s="3"/>
      <c r="N28" s="3"/>
      <c r="O28" s="3"/>
      <c r="P28" s="3"/>
      <c r="Q28" s="3"/>
    </row>
    <row r="29" spans="2:20" ht="18" hidden="1" customHeight="1" thickBot="1" x14ac:dyDescent="0.3">
      <c r="B29" s="93" t="s">
        <v>163</v>
      </c>
      <c r="C29" s="98" t="s">
        <v>164</v>
      </c>
      <c r="D29" s="163" t="str">
        <f>INDEX(J16:L16,MATCH(D28,J15:L15))</f>
        <v>Open</v>
      </c>
      <c r="E29" s="74" t="s">
        <v>18</v>
      </c>
      <c r="F29" s="75"/>
      <c r="G29" s="193"/>
      <c r="M29" s="3"/>
      <c r="N29" s="3"/>
      <c r="O29" s="3"/>
      <c r="P29" s="3"/>
      <c r="Q29" s="3"/>
    </row>
    <row r="30" spans="2:20" s="57" customFormat="1" ht="18" hidden="1" customHeight="1" x14ac:dyDescent="0.25">
      <c r="F30" s="58"/>
      <c r="G30" s="194"/>
      <c r="M30" s="151"/>
      <c r="N30" s="151"/>
      <c r="O30" s="151"/>
      <c r="P30" s="151"/>
      <c r="Q30" s="151"/>
      <c r="R30" s="58"/>
      <c r="S30" s="58"/>
    </row>
    <row r="31" spans="2:20" ht="18" hidden="1" customHeight="1" thickBot="1" x14ac:dyDescent="0.3">
      <c r="G31" s="193"/>
      <c r="M31" s="3"/>
      <c r="N31" s="3"/>
      <c r="O31" s="3"/>
      <c r="P31" s="3"/>
      <c r="Q31" s="3"/>
    </row>
    <row r="32" spans="2:20" ht="18" hidden="1" customHeight="1" thickBot="1" x14ac:dyDescent="0.3">
      <c r="B32" s="227" t="s">
        <v>185</v>
      </c>
      <c r="C32" s="228"/>
      <c r="D32" s="80"/>
      <c r="E32" s="81"/>
      <c r="F32" s="82"/>
      <c r="G32" s="193"/>
    </row>
    <row r="33" spans="2:20" ht="18" hidden="1" customHeight="1" x14ac:dyDescent="0.25">
      <c r="B33" s="92" t="s">
        <v>213</v>
      </c>
      <c r="C33" s="95" t="s">
        <v>169</v>
      </c>
      <c r="D33" s="123">
        <f>D16</f>
        <v>8</v>
      </c>
      <c r="E33" s="103" t="s">
        <v>6</v>
      </c>
      <c r="F33" s="125">
        <v>0.03</v>
      </c>
      <c r="G33" s="193"/>
    </row>
    <row r="34" spans="2:20" ht="15" hidden="1" x14ac:dyDescent="0.25">
      <c r="B34" s="92" t="s">
        <v>115</v>
      </c>
      <c r="C34" s="96" t="s">
        <v>93</v>
      </c>
      <c r="D34" s="186">
        <v>1000</v>
      </c>
      <c r="E34" s="21" t="s">
        <v>18</v>
      </c>
      <c r="F34" s="141">
        <v>0.01</v>
      </c>
      <c r="G34" s="193"/>
      <c r="L34" s="17">
        <f>IF(D34&gt;=100,D34,IF(D34&gt;=10,D34*10,D34*100))</f>
        <v>1000</v>
      </c>
    </row>
    <row r="35" spans="2:20" ht="18" hidden="1" customHeight="1" x14ac:dyDescent="0.25">
      <c r="B35" s="92" t="s">
        <v>77</v>
      </c>
      <c r="C35" s="96" t="s">
        <v>116</v>
      </c>
      <c r="D35" s="112">
        <f>RpUVLO/(D33/OVref -1)</f>
        <v>176.47058823529412</v>
      </c>
      <c r="E35" s="22" t="s">
        <v>18</v>
      </c>
      <c r="F35" s="73"/>
      <c r="G35" s="193"/>
      <c r="J35" s="164">
        <f>D39</f>
        <v>7.2797752808988774</v>
      </c>
      <c r="K35" s="165" t="s">
        <v>87</v>
      </c>
      <c r="L35" s="166">
        <f>IF(D35&gt;=10000,D35/100,IF(D35&gt;=1000,D35/10,IF(D35&gt;=100,D35,IF(D35&gt;=10,D35*10,D35*100))))</f>
        <v>176.47058823529412</v>
      </c>
      <c r="T35" s="167"/>
    </row>
    <row r="36" spans="2:20" ht="18" hidden="1" customHeight="1" x14ac:dyDescent="0.25">
      <c r="B36" s="229" t="s">
        <v>94</v>
      </c>
      <c r="C36" s="234"/>
      <c r="D36" s="230"/>
      <c r="E36" s="168"/>
      <c r="F36" s="169"/>
      <c r="G36" s="193"/>
      <c r="J36" s="164">
        <f>D38</f>
        <v>7.9415730337078649</v>
      </c>
      <c r="K36" s="165" t="s">
        <v>108</v>
      </c>
      <c r="L36" s="170">
        <f>INDEX('Res EIA Tables'!E$5:E$197,2+MATCH(L35,'Res EIA Tables'!E$5:E$197))</f>
        <v>178</v>
      </c>
      <c r="T36" s="171"/>
    </row>
    <row r="37" spans="2:20" ht="18" hidden="1" customHeight="1" x14ac:dyDescent="0.25">
      <c r="B37" s="92" t="s">
        <v>54</v>
      </c>
      <c r="C37" s="96" t="s">
        <v>55</v>
      </c>
      <c r="D37" s="189">
        <f>G37</f>
        <v>178</v>
      </c>
      <c r="E37" s="22" t="s">
        <v>18</v>
      </c>
      <c r="F37" s="187">
        <f>F34</f>
        <v>0.01</v>
      </c>
      <c r="G37" s="193">
        <f>L36*D35/L35</f>
        <v>178</v>
      </c>
      <c r="J37" s="172">
        <f>D28</f>
        <v>13.58</v>
      </c>
      <c r="K37" s="165" t="s">
        <v>107</v>
      </c>
    </row>
    <row r="38" spans="2:20" s="167" customFormat="1" ht="18" hidden="1" customHeight="1" x14ac:dyDescent="0.25">
      <c r="B38" s="92" t="s">
        <v>147</v>
      </c>
      <c r="C38" s="96" t="s">
        <v>175</v>
      </c>
      <c r="D38" s="114">
        <f>OVref*(1+RpUVLO/D37)</f>
        <v>7.9415730337078649</v>
      </c>
      <c r="E38" s="22" t="s">
        <v>6</v>
      </c>
      <c r="F38" s="127">
        <f>SQRT(F107^2+F34^2+F37^2)</f>
        <v>3.3166247903553998E-2</v>
      </c>
      <c r="G38" s="195"/>
      <c r="M38" s="17"/>
      <c r="N38" s="17"/>
      <c r="O38" s="17"/>
      <c r="P38" s="17"/>
      <c r="Q38" s="17"/>
      <c r="R38" s="19"/>
      <c r="S38" s="19"/>
      <c r="T38" s="17"/>
    </row>
    <row r="39" spans="2:20" s="171" customFormat="1" ht="18" hidden="1" customHeight="1" x14ac:dyDescent="0.25">
      <c r="B39" s="173" t="s">
        <v>148</v>
      </c>
      <c r="C39" s="174" t="s">
        <v>149</v>
      </c>
      <c r="D39" s="175">
        <f>UVref*(1+RpUVLO/D37)</f>
        <v>7.2797752808988774</v>
      </c>
      <c r="E39" s="176" t="s">
        <v>6</v>
      </c>
      <c r="F39" s="177">
        <f>SQRT(F106^2+F34^2+F37^2)</f>
        <v>6.4567793829431716E-2</v>
      </c>
      <c r="G39" s="196"/>
      <c r="M39" s="17"/>
      <c r="N39" s="17"/>
      <c r="O39" s="17"/>
      <c r="P39" s="17"/>
      <c r="Q39" s="17"/>
      <c r="R39" s="19"/>
      <c r="S39" s="19"/>
      <c r="T39" s="17"/>
    </row>
    <row r="40" spans="2:20" ht="18" hidden="1" customHeight="1" thickBot="1" x14ac:dyDescent="0.3">
      <c r="B40" s="93" t="s">
        <v>98</v>
      </c>
      <c r="C40" s="98" t="s">
        <v>95</v>
      </c>
      <c r="D40" s="115">
        <f>D13*1000/(RpUVLO+D37)</f>
        <v>10.186757215619695</v>
      </c>
      <c r="E40" s="74" t="s">
        <v>7</v>
      </c>
      <c r="F40" s="75"/>
      <c r="G40" s="191"/>
    </row>
    <row r="41" spans="2:20" ht="18" customHeight="1" thickBot="1" x14ac:dyDescent="0.3">
      <c r="B41" s="18"/>
      <c r="C41" s="18"/>
      <c r="E41" s="18"/>
      <c r="F41" s="126"/>
      <c r="G41" s="197"/>
    </row>
    <row r="42" spans="2:20" ht="32.450000000000003" customHeight="1" thickBot="1" x14ac:dyDescent="0.3">
      <c r="B42" s="227" t="s">
        <v>186</v>
      </c>
      <c r="C42" s="242"/>
      <c r="D42" s="242"/>
      <c r="E42" s="242"/>
      <c r="F42" s="243"/>
      <c r="G42" s="197"/>
      <c r="L42" s="24" t="s">
        <v>171</v>
      </c>
      <c r="M42" s="171"/>
      <c r="N42" s="171"/>
      <c r="O42" s="171"/>
      <c r="P42" s="171"/>
      <c r="Q42" s="171"/>
      <c r="R42" s="178"/>
      <c r="S42" s="178"/>
    </row>
    <row r="43" spans="2:20" ht="32.450000000000003" customHeight="1" x14ac:dyDescent="0.25">
      <c r="B43" s="92" t="s">
        <v>213</v>
      </c>
      <c r="C43" s="71" t="s">
        <v>169</v>
      </c>
      <c r="D43" s="123">
        <f>D17</f>
        <v>10</v>
      </c>
      <c r="E43" s="104"/>
      <c r="F43" s="106"/>
      <c r="G43" s="197"/>
      <c r="L43" s="179">
        <f>(OVref*D45)/(D43-OVref)</f>
        <v>136.36363636363635</v>
      </c>
      <c r="M43" s="171"/>
      <c r="N43" s="171"/>
      <c r="O43" s="171"/>
      <c r="P43" s="171"/>
      <c r="Q43" s="171"/>
      <c r="R43" s="178"/>
      <c r="S43" s="178"/>
    </row>
    <row r="44" spans="2:20" ht="32.450000000000003" customHeight="1" x14ac:dyDescent="0.25">
      <c r="B44" s="62" t="s">
        <v>161</v>
      </c>
      <c r="C44" s="63" t="s">
        <v>167</v>
      </c>
      <c r="D44" s="124">
        <f>D15</f>
        <v>13</v>
      </c>
      <c r="E44" s="105"/>
      <c r="F44" s="107"/>
      <c r="G44" s="197"/>
      <c r="J44" s="164">
        <f>D52</f>
        <v>9.1527086383601759</v>
      </c>
      <c r="K44" s="180" t="s">
        <v>211</v>
      </c>
      <c r="L44" s="17" t="s">
        <v>54</v>
      </c>
      <c r="N44" s="171"/>
      <c r="O44" s="171"/>
      <c r="P44" s="171"/>
      <c r="Q44" s="171"/>
      <c r="R44" s="178"/>
      <c r="S44" s="178"/>
    </row>
    <row r="45" spans="2:20" ht="22.15" customHeight="1" x14ac:dyDescent="0.25">
      <c r="B45" s="62" t="s">
        <v>143</v>
      </c>
      <c r="C45" s="63" t="s">
        <v>170</v>
      </c>
      <c r="D45" s="186">
        <v>1000</v>
      </c>
      <c r="E45" s="21" t="s">
        <v>18</v>
      </c>
      <c r="F45" s="188">
        <v>0.01</v>
      </c>
      <c r="G45" s="197"/>
      <c r="J45" s="164">
        <f>D51</f>
        <v>9.9847730600292817</v>
      </c>
      <c r="K45" s="180" t="s">
        <v>108</v>
      </c>
      <c r="L45" s="17">
        <f>IF(D46&gt;=10000,D46/100,IF(D46&gt;=1000,D46/10,IF(D46&gt;=100,D46,IF(D46&gt;=10,D46*10,D46*100))))</f>
        <v>314.68531468531467</v>
      </c>
    </row>
    <row r="46" spans="2:20" ht="22.15" customHeight="1" x14ac:dyDescent="0.25">
      <c r="B46" s="62" t="s">
        <v>77</v>
      </c>
      <c r="C46" s="63" t="s">
        <v>144</v>
      </c>
      <c r="D46" s="112">
        <f>L43-D47</f>
        <v>31.468531468531467</v>
      </c>
      <c r="E46" s="22" t="s">
        <v>18</v>
      </c>
      <c r="F46" s="108"/>
      <c r="G46" s="197"/>
      <c r="J46" s="164">
        <f>D54</f>
        <v>11.907238095238094</v>
      </c>
      <c r="K46" s="165" t="s">
        <v>117</v>
      </c>
      <c r="L46" s="17">
        <f>INDEX('Res EIA Tables'!E$5:E$197,2+MATCH(L45,'Res EIA Tables'!E$5:E$197))</f>
        <v>316</v>
      </c>
    </row>
    <row r="47" spans="2:20" ht="18" customHeight="1" x14ac:dyDescent="0.25">
      <c r="B47" s="62" t="s">
        <v>172</v>
      </c>
      <c r="C47" s="63" t="s">
        <v>144</v>
      </c>
      <c r="D47" s="112">
        <f>(D45+L43)*OVref/D44</f>
        <v>104.89510489510488</v>
      </c>
      <c r="E47" s="22" t="s">
        <v>18</v>
      </c>
      <c r="F47" s="73"/>
      <c r="G47" s="197"/>
      <c r="J47" s="164">
        <f>D53</f>
        <v>12.989714285714284</v>
      </c>
      <c r="K47" s="180" t="s">
        <v>123</v>
      </c>
      <c r="L47" s="166" t="s">
        <v>173</v>
      </c>
      <c r="T47" s="167"/>
    </row>
    <row r="48" spans="2:20" ht="18" customHeight="1" x14ac:dyDescent="0.25">
      <c r="B48" s="229" t="s">
        <v>94</v>
      </c>
      <c r="C48" s="230"/>
      <c r="D48" s="113"/>
      <c r="E48" s="109"/>
      <c r="F48" s="73"/>
      <c r="G48" s="197"/>
      <c r="L48" s="17">
        <f>IF(D47&gt;=10000,D47/100,IF(D47&gt;=1000,D47/10,IF(D47&gt;=100,D47,IF(D47&gt;=10,D47*10,D47*100))))</f>
        <v>104.89510489510488</v>
      </c>
    </row>
    <row r="49" spans="2:20" ht="18" customHeight="1" x14ac:dyDescent="0.25">
      <c r="B49" s="62" t="s">
        <v>54</v>
      </c>
      <c r="C49" s="63" t="s">
        <v>55</v>
      </c>
      <c r="D49" s="189">
        <f>G49</f>
        <v>31.599999999999998</v>
      </c>
      <c r="E49" s="22" t="s">
        <v>18</v>
      </c>
      <c r="F49" s="188">
        <v>0.01</v>
      </c>
      <c r="G49" s="197">
        <f>L46*D46/L45</f>
        <v>31.599999999999998</v>
      </c>
      <c r="J49" s="25"/>
      <c r="K49" s="181"/>
      <c r="L49" s="170">
        <f>INDEX('Res EIA Tables'!E$5:E$197,2+MATCH(L48,'Res EIA Tables'!E$5:E$197))</f>
        <v>105</v>
      </c>
    </row>
    <row r="50" spans="2:20" ht="18" customHeight="1" x14ac:dyDescent="0.25">
      <c r="B50" s="62" t="s">
        <v>173</v>
      </c>
      <c r="C50" s="63" t="s">
        <v>174</v>
      </c>
      <c r="D50" s="189">
        <f>G50</f>
        <v>105</v>
      </c>
      <c r="E50" s="22" t="s">
        <v>18</v>
      </c>
      <c r="F50" s="188">
        <v>0.01</v>
      </c>
      <c r="G50" s="197">
        <f>L49*D47/L48</f>
        <v>105</v>
      </c>
      <c r="J50" s="25"/>
      <c r="K50" s="181"/>
      <c r="L50" s="170"/>
    </row>
    <row r="51" spans="2:20" ht="18" customHeight="1" x14ac:dyDescent="0.25">
      <c r="B51" s="62" t="s">
        <v>147</v>
      </c>
      <c r="C51" s="63" t="s">
        <v>175</v>
      </c>
      <c r="D51" s="114">
        <f>OVref*(D45+D49+D50)/(D49+D50)</f>
        <v>9.9847730600292817</v>
      </c>
      <c r="E51" s="22" t="s">
        <v>6</v>
      </c>
      <c r="F51" s="127">
        <f>SQRT(F107^2+F45^2+F49^2+F50^2)</f>
        <v>3.4641016151377546E-2</v>
      </c>
      <c r="G51" s="197"/>
      <c r="J51" s="25"/>
      <c r="K51" s="181"/>
      <c r="L51" s="170"/>
    </row>
    <row r="52" spans="2:20" s="167" customFormat="1" ht="18.600000000000001" customHeight="1" x14ac:dyDescent="0.25">
      <c r="B52" s="62" t="s">
        <v>148</v>
      </c>
      <c r="C52" s="63" t="s">
        <v>149</v>
      </c>
      <c r="D52" s="114">
        <f>UVref*(D45+D49+D50)/(D49+D50)</f>
        <v>9.1527086383601759</v>
      </c>
      <c r="E52" s="22" t="s">
        <v>6</v>
      </c>
      <c r="F52" s="127">
        <f>SQRT(F106^2+F45^2+F49^2+F50^2)</f>
        <v>6.5337584895678549E-2</v>
      </c>
      <c r="G52" s="198"/>
      <c r="J52" s="25"/>
      <c r="K52" s="181"/>
      <c r="M52" s="17"/>
      <c r="N52" s="17"/>
      <c r="O52" s="17"/>
      <c r="P52" s="17"/>
      <c r="Q52" s="17"/>
      <c r="R52" s="19"/>
      <c r="S52" s="19"/>
      <c r="T52" s="17"/>
    </row>
    <row r="53" spans="2:20" ht="18" customHeight="1" x14ac:dyDescent="0.25">
      <c r="B53" s="62" t="s">
        <v>176</v>
      </c>
      <c r="C53" s="63" t="s">
        <v>178</v>
      </c>
      <c r="D53" s="114">
        <f>OVref*(D45+D49+D50)/(D50)</f>
        <v>12.989714285714284</v>
      </c>
      <c r="E53" s="22" t="s">
        <v>6</v>
      </c>
      <c r="F53" s="127">
        <f>SQRT(F107^2+F45^2+F49^2+F50^2)</f>
        <v>3.4641016151377546E-2</v>
      </c>
      <c r="G53" s="199"/>
    </row>
    <row r="54" spans="2:20" ht="18" customHeight="1" x14ac:dyDescent="0.25">
      <c r="B54" s="62" t="s">
        <v>177</v>
      </c>
      <c r="C54" s="63" t="s">
        <v>179</v>
      </c>
      <c r="D54" s="114">
        <f>UVref*(D45+D49+D50)/(D50)</f>
        <v>11.907238095238094</v>
      </c>
      <c r="E54" s="22" t="s">
        <v>6</v>
      </c>
      <c r="F54" s="127">
        <f>SQRT(F106^2+F45^2+F49^2+F50^2)</f>
        <v>6.5337584895678549E-2</v>
      </c>
      <c r="G54" s="199"/>
    </row>
    <row r="55" spans="2:20" ht="21" customHeight="1" thickBot="1" x14ac:dyDescent="0.3">
      <c r="B55" s="69" t="s">
        <v>182</v>
      </c>
      <c r="C55" s="70" t="s">
        <v>183</v>
      </c>
      <c r="D55" s="115">
        <f>D13*1000/(D45+D49+D50)</f>
        <v>10.557803976772831</v>
      </c>
      <c r="E55" s="74" t="s">
        <v>7</v>
      </c>
      <c r="F55" s="75"/>
      <c r="G55" s="197"/>
      <c r="M55" s="167"/>
      <c r="N55" s="167"/>
      <c r="O55" s="167"/>
      <c r="P55" s="167"/>
      <c r="Q55" s="167"/>
      <c r="R55" s="182"/>
      <c r="S55" s="182"/>
    </row>
    <row r="56" spans="2:20" ht="25.15" customHeight="1" thickBot="1" x14ac:dyDescent="0.3">
      <c r="G56" s="197"/>
    </row>
    <row r="57" spans="2:20" ht="18" customHeight="1" thickBot="1" x14ac:dyDescent="0.3">
      <c r="B57" s="239" t="s">
        <v>128</v>
      </c>
      <c r="C57" s="240"/>
      <c r="D57" s="240"/>
      <c r="E57" s="240"/>
      <c r="F57" s="241"/>
      <c r="G57" s="197"/>
    </row>
    <row r="58" spans="2:20" ht="18" customHeight="1" x14ac:dyDescent="0.25">
      <c r="B58" s="91" t="s">
        <v>130</v>
      </c>
      <c r="C58" s="95" t="s">
        <v>17</v>
      </c>
      <c r="D58" s="117">
        <f>903/(Ilimit-0.0112)</f>
        <v>825.56226001097104</v>
      </c>
      <c r="E58" s="83" t="s">
        <v>49</v>
      </c>
      <c r="F58" s="116"/>
      <c r="G58" s="197"/>
      <c r="J58" s="25">
        <f>Icharge</f>
        <v>0.20140909090909087</v>
      </c>
      <c r="K58" s="181" t="s">
        <v>88</v>
      </c>
    </row>
    <row r="59" spans="2:20" ht="18" customHeight="1" x14ac:dyDescent="0.25">
      <c r="B59" s="229" t="s">
        <v>127</v>
      </c>
      <c r="C59" s="234"/>
      <c r="D59" s="230"/>
      <c r="E59" s="21"/>
      <c r="F59" s="108"/>
      <c r="G59" s="197"/>
      <c r="J59" s="25">
        <f>Ilimit_final</f>
        <v>1.079839053254438</v>
      </c>
      <c r="K59" s="181" t="s">
        <v>89</v>
      </c>
      <c r="L59" s="166">
        <f>IF(D58&gt;=10000,D58/100,IF(D58&gt;=1000,D58/10,IF(D58&gt;=100,D58,IF(D58&gt;=10,D58*10,D58*100))))</f>
        <v>825.56226001097104</v>
      </c>
    </row>
    <row r="60" spans="2:20" ht="18.600000000000001" customHeight="1" x14ac:dyDescent="0.25">
      <c r="B60" s="92" t="s">
        <v>129</v>
      </c>
      <c r="C60" s="96" t="s">
        <v>208</v>
      </c>
      <c r="D60" s="189">
        <f>G60</f>
        <v>845</v>
      </c>
      <c r="E60" s="21" t="s">
        <v>49</v>
      </c>
      <c r="F60" s="188">
        <v>0.01</v>
      </c>
      <c r="G60" s="200">
        <f>L60*D58/L59</f>
        <v>845</v>
      </c>
      <c r="L60" s="17">
        <f>INDEX('Res EIA Tables'!E$5:E$197,2+MATCH(L59,'Res EIA Tables'!E$5:E$197))</f>
        <v>845</v>
      </c>
    </row>
    <row r="61" spans="2:20" ht="18" customHeight="1" x14ac:dyDescent="0.25">
      <c r="B61" s="92" t="s">
        <v>15</v>
      </c>
      <c r="C61" s="96" t="s">
        <v>16</v>
      </c>
      <c r="D61" s="114">
        <f>((903/RILM)+0.0112)</f>
        <v>1.079839053254438</v>
      </c>
      <c r="E61" s="21" t="s">
        <v>4</v>
      </c>
      <c r="F61" s="120">
        <f>SQRT(0.105^2+F60^2)</f>
        <v>0.10547511554864492</v>
      </c>
      <c r="G61" s="198"/>
    </row>
    <row r="62" spans="2:20" ht="18" customHeight="1" thickBot="1" x14ac:dyDescent="0.3">
      <c r="B62" s="93" t="s">
        <v>150</v>
      </c>
      <c r="C62" s="98" t="s">
        <v>151</v>
      </c>
      <c r="D62" s="118">
        <f>GainIMON*RILM/10^3</f>
        <v>553.98199999999997</v>
      </c>
      <c r="E62" s="84" t="s">
        <v>152</v>
      </c>
      <c r="F62" s="128">
        <f>SQRT(F108^2+F60^2)</f>
        <v>3.8327535793473595E-2</v>
      </c>
      <c r="G62" s="197"/>
    </row>
    <row r="63" spans="2:20" ht="15.75" thickBot="1" x14ac:dyDescent="0.3">
      <c r="G63" s="197"/>
    </row>
    <row r="64" spans="2:20" ht="21.6" customHeight="1" thickBot="1" x14ac:dyDescent="0.3">
      <c r="B64" s="239" t="s">
        <v>132</v>
      </c>
      <c r="C64" s="240"/>
      <c r="D64" s="240"/>
      <c r="E64" s="240"/>
      <c r="F64" s="241"/>
      <c r="G64" s="197"/>
      <c r="T64" s="167"/>
    </row>
    <row r="65" spans="2:20" ht="18" customHeight="1" x14ac:dyDescent="0.25">
      <c r="B65" s="85" t="s">
        <v>0</v>
      </c>
      <c r="C65" s="86" t="s">
        <v>1</v>
      </c>
      <c r="D65" s="87" t="s">
        <v>2</v>
      </c>
      <c r="E65" s="88" t="s">
        <v>3</v>
      </c>
      <c r="F65" s="89" t="s">
        <v>63</v>
      </c>
      <c r="G65" s="197"/>
      <c r="T65" s="167"/>
    </row>
    <row r="66" spans="2:20" ht="18" customHeight="1" x14ac:dyDescent="0.25">
      <c r="B66" s="62" t="s">
        <v>135</v>
      </c>
      <c r="C66" s="63" t="s">
        <v>133</v>
      </c>
      <c r="D66" s="122">
        <v>2.11</v>
      </c>
      <c r="E66" s="22" t="s">
        <v>7</v>
      </c>
      <c r="F66" s="127">
        <v>0.104</v>
      </c>
      <c r="G66" s="197"/>
      <c r="T66" s="167"/>
    </row>
    <row r="67" spans="2:20" s="167" customFormat="1" ht="18" customHeight="1" x14ac:dyDescent="0.25">
      <c r="B67" s="62" t="s">
        <v>136</v>
      </c>
      <c r="C67" s="63" t="s">
        <v>134</v>
      </c>
      <c r="D67" s="122">
        <v>21</v>
      </c>
      <c r="E67" s="22" t="s">
        <v>75</v>
      </c>
      <c r="F67" s="127">
        <v>0.03</v>
      </c>
      <c r="G67" s="197"/>
      <c r="M67" s="17"/>
      <c r="N67" s="17"/>
      <c r="O67" s="17"/>
      <c r="P67" s="17"/>
      <c r="Q67" s="17"/>
      <c r="R67" s="19"/>
      <c r="S67" s="19"/>
      <c r="T67" s="17"/>
    </row>
    <row r="68" spans="2:20" s="167" customFormat="1" ht="32.450000000000003" customHeight="1" x14ac:dyDescent="0.25">
      <c r="B68" s="62" t="s">
        <v>90</v>
      </c>
      <c r="C68" s="63" t="s">
        <v>209</v>
      </c>
      <c r="D68" s="122">
        <f>MIN(Cout*(Vcc_max/D69)/1000, Ilimit_final)</f>
        <v>1.079839053254438</v>
      </c>
      <c r="E68" s="22" t="s">
        <v>4</v>
      </c>
      <c r="F68" s="73"/>
      <c r="G68" s="197"/>
      <c r="H68" s="183"/>
      <c r="M68" s="17"/>
      <c r="N68" s="17"/>
      <c r="O68" s="17"/>
      <c r="P68" s="17"/>
      <c r="Q68" s="17"/>
      <c r="R68" s="19"/>
      <c r="S68" s="19"/>
      <c r="T68" s="17"/>
    </row>
    <row r="69" spans="2:20" s="167" customFormat="1" ht="18" customHeight="1" x14ac:dyDescent="0.25">
      <c r="B69" s="62" t="s">
        <v>138</v>
      </c>
      <c r="C69" s="63" t="s">
        <v>137</v>
      </c>
      <c r="D69" s="122">
        <v>0.21</v>
      </c>
      <c r="E69" s="22" t="s">
        <v>5</v>
      </c>
      <c r="F69" s="127">
        <v>0.15</v>
      </c>
      <c r="G69" s="201"/>
      <c r="L69" s="184"/>
      <c r="M69" s="17"/>
      <c r="N69" s="17"/>
      <c r="O69" s="17"/>
      <c r="P69" s="17"/>
      <c r="Q69" s="17"/>
      <c r="R69" s="19"/>
      <c r="S69" s="19"/>
      <c r="T69" s="17"/>
    </row>
    <row r="70" spans="2:20" ht="18" customHeight="1" x14ac:dyDescent="0.25">
      <c r="B70" s="62" t="s">
        <v>57</v>
      </c>
      <c r="C70" s="63" t="s">
        <v>58</v>
      </c>
      <c r="D70" s="142">
        <v>5</v>
      </c>
      <c r="E70" s="22" t="s">
        <v>5</v>
      </c>
      <c r="F70" s="73"/>
      <c r="G70" s="197"/>
      <c r="M70" s="184"/>
      <c r="N70" s="167"/>
      <c r="O70" s="167"/>
      <c r="P70" s="167"/>
      <c r="Q70" s="167"/>
      <c r="R70" s="182"/>
      <c r="S70" s="182"/>
    </row>
    <row r="71" spans="2:20" ht="18" customHeight="1" x14ac:dyDescent="0.25">
      <c r="B71" s="62" t="s">
        <v>59</v>
      </c>
      <c r="C71" s="63" t="s">
        <v>91</v>
      </c>
      <c r="D71" s="142">
        <v>1</v>
      </c>
      <c r="E71" s="22" t="s">
        <v>4</v>
      </c>
      <c r="F71" s="73"/>
      <c r="G71" s="197"/>
      <c r="M71" s="184"/>
      <c r="N71" s="167"/>
      <c r="O71" s="167"/>
      <c r="P71" s="167"/>
      <c r="Q71" s="167"/>
      <c r="R71" s="182"/>
      <c r="S71" s="182"/>
    </row>
    <row r="72" spans="2:20" ht="18" customHeight="1" x14ac:dyDescent="0.25">
      <c r="B72" s="62" t="s">
        <v>101</v>
      </c>
      <c r="C72" s="63" t="s">
        <v>99</v>
      </c>
      <c r="D72" s="214">
        <f>IF(Tchg_req&lt;D69,    0,  (I_dVdt*Gain_dVdt*Tchg_req/Vcc_max))</f>
        <v>18.462499999999999</v>
      </c>
      <c r="E72" s="22" t="s">
        <v>8</v>
      </c>
      <c r="F72" s="73"/>
      <c r="G72" s="197"/>
      <c r="M72" s="184"/>
      <c r="N72" s="167"/>
      <c r="O72" s="167"/>
      <c r="P72" s="167"/>
      <c r="Q72" s="167"/>
      <c r="R72" s="182"/>
      <c r="S72" s="182"/>
    </row>
    <row r="73" spans="2:20" ht="18" customHeight="1" x14ac:dyDescent="0.25">
      <c r="B73" s="62" t="s">
        <v>102</v>
      </c>
      <c r="C73" s="63" t="s">
        <v>100</v>
      </c>
      <c r="D73" s="214">
        <f>(I_dVdt*Gain_dVdt*Cout*0.001/Icharge_req)</f>
        <v>4.4309999999999992</v>
      </c>
      <c r="E73" s="22" t="s">
        <v>8</v>
      </c>
      <c r="F73" s="73"/>
      <c r="G73" s="200">
        <f>MAX(Cdvdt_ext_cal1,Cext_dvdt_cal2)</f>
        <v>18.462499999999999</v>
      </c>
    </row>
    <row r="74" spans="2:20" ht="18" customHeight="1" x14ac:dyDescent="0.25">
      <c r="B74" s="229" t="s">
        <v>103</v>
      </c>
      <c r="C74" s="234"/>
      <c r="D74" s="230"/>
      <c r="E74" s="22"/>
      <c r="F74" s="73"/>
      <c r="G74" s="197"/>
    </row>
    <row r="75" spans="2:20" ht="16.899999999999999" customHeight="1" x14ac:dyDescent="0.25">
      <c r="B75" s="62" t="s">
        <v>104</v>
      </c>
      <c r="C75" s="63" t="s">
        <v>215</v>
      </c>
      <c r="D75" s="215">
        <f>G75</f>
        <v>22</v>
      </c>
      <c r="E75" s="22" t="s">
        <v>8</v>
      </c>
      <c r="F75" s="190">
        <v>0.1</v>
      </c>
      <c r="G75" s="197">
        <f>IF(G73&lt;1, "OPEN", IF(G73&gt;1,    INDEX('Cap Tables'!B4:B75,1+MATCH(G73,'Cap Tables'!B4:B75)),     INDEX('Cap Tables'!A4:A75,1+MATCH(G73*10,'Cap Tables'!A4:A75))/10))</f>
        <v>22</v>
      </c>
    </row>
    <row r="76" spans="2:20" ht="18.75" x14ac:dyDescent="0.25">
      <c r="B76" s="62" t="s">
        <v>60</v>
      </c>
      <c r="C76" s="63" t="s">
        <v>109</v>
      </c>
      <c r="D76" s="216">
        <f>IF(Cdvdt_ext="OPEN",D68,Cout*0.000001*Gain_dVdt*I_dVdt*0.000001/(Cdvdt_ext*0.000000001))</f>
        <v>0.20140909090909087</v>
      </c>
      <c r="E76" s="21" t="s">
        <v>4</v>
      </c>
      <c r="F76" s="120">
        <f>SQRT(F78^2+F19^2)</f>
        <v>0.17808986495586998</v>
      </c>
      <c r="G76" s="198"/>
    </row>
    <row r="77" spans="2:20" ht="18" customHeight="1" x14ac:dyDescent="0.25">
      <c r="B77" s="62" t="s">
        <v>92</v>
      </c>
      <c r="C77" s="63"/>
      <c r="D77" s="119" t="b">
        <f>((Icharge+Vcc_max/Rlstart) &gt;= Ilimit_final)</f>
        <v>0</v>
      </c>
      <c r="E77" s="21"/>
      <c r="F77" s="27"/>
      <c r="G77" s="200">
        <f>Cout*0.001*Rlstart*(Ilimit_final/Icharge -1+LN(Icharge/(Ilimit_final-Vcc_max/Rlstart)))</f>
        <v>6.9866179797569679</v>
      </c>
    </row>
    <row r="78" spans="2:20" ht="20.25" customHeight="1" x14ac:dyDescent="0.25">
      <c r="B78" s="62" t="s">
        <v>110</v>
      </c>
      <c r="C78" s="63" t="s">
        <v>35</v>
      </c>
      <c r="D78" s="114">
        <f>IF(D77, G77, IF(Cdvdt_ext="OPEN",D69,((Cdvdt_ext*Vcc_max)/(I_dVdt*Gain_dVdt))))</f>
        <v>5.9580230196343944</v>
      </c>
      <c r="E78" s="21" t="s">
        <v>5</v>
      </c>
      <c r="F78" s="120">
        <f>SQRT(F75^2+F66^2+F67^2)</f>
        <v>0.14736349615830918</v>
      </c>
      <c r="G78" s="198"/>
    </row>
    <row r="79" spans="2:20" ht="18" customHeight="1" thickBot="1" x14ac:dyDescent="0.3">
      <c r="B79" s="69" t="s">
        <v>111</v>
      </c>
      <c r="C79" s="70" t="s">
        <v>61</v>
      </c>
      <c r="D79" s="115">
        <f>0.5*Vcc_max*Icharge</f>
        <v>1.2084545454545452</v>
      </c>
      <c r="E79" s="84" t="s">
        <v>32</v>
      </c>
      <c r="F79" s="60"/>
      <c r="G79" s="193"/>
    </row>
    <row r="80" spans="2:20" ht="18" customHeight="1" thickBot="1" x14ac:dyDescent="0.3">
      <c r="G80" s="193"/>
    </row>
    <row r="81" spans="2:13" ht="18" customHeight="1" thickBot="1" x14ac:dyDescent="0.3">
      <c r="B81" s="239" t="s">
        <v>47</v>
      </c>
      <c r="C81" s="240"/>
      <c r="D81" s="240"/>
      <c r="E81" s="240"/>
      <c r="F81" s="241"/>
    </row>
    <row r="82" spans="2:13" ht="16.149999999999999" customHeight="1" x14ac:dyDescent="0.25">
      <c r="B82" s="204" t="s">
        <v>50</v>
      </c>
      <c r="C82" s="71" t="s">
        <v>62</v>
      </c>
      <c r="D82" s="217">
        <f>(1/6)*(Vcc_max^2)/Rlstart</f>
        <v>1.2</v>
      </c>
      <c r="E82" s="79" t="s">
        <v>32</v>
      </c>
      <c r="F82" s="205"/>
      <c r="L82" s="222" t="s">
        <v>201</v>
      </c>
      <c r="M82" s="222"/>
    </row>
    <row r="83" spans="2:13" ht="18" customHeight="1" x14ac:dyDescent="0.25">
      <c r="B83" s="62" t="s">
        <v>52</v>
      </c>
      <c r="C83" s="63" t="s">
        <v>51</v>
      </c>
      <c r="D83" s="218">
        <f>D79+D82</f>
        <v>2.4084545454545454</v>
      </c>
      <c r="E83" s="22" t="s">
        <v>32</v>
      </c>
      <c r="F83" s="73"/>
    </row>
    <row r="84" spans="2:13" ht="27" customHeight="1" thickBot="1" x14ac:dyDescent="0.3">
      <c r="B84" s="206"/>
      <c r="C84" s="136" t="s">
        <v>153</v>
      </c>
      <c r="D84" s="219">
        <f>IF(D23&gt;85,M84,IF(D23&gt;25,M85,M86))</f>
        <v>7.0715199999999996</v>
      </c>
      <c r="E84" s="137" t="s">
        <v>32</v>
      </c>
      <c r="F84" s="177">
        <v>0.15</v>
      </c>
      <c r="L84" s="17">
        <v>125</v>
      </c>
      <c r="M84" s="17">
        <f>INDEX('Thermal Shutdown Limit Plot'!G11:H30,MATCH(Tchg_dvdt*(1+F78),'Thermal Shutdown Limit Plot'!H11:H30,-1),1)*0.8</f>
        <v>3.8075040000000002</v>
      </c>
    </row>
    <row r="85" spans="2:13" ht="33.6" customHeight="1" thickBot="1" x14ac:dyDescent="0.3">
      <c r="B85" s="235" t="s">
        <v>210</v>
      </c>
      <c r="C85" s="236"/>
      <c r="D85" s="237" t="str">
        <f>IF(D83&lt;(D84),"YES","NO, Increase Rlstart and/or Tchg_req; and/or Reduce Cout")</f>
        <v>YES</v>
      </c>
      <c r="E85" s="237"/>
      <c r="F85" s="237"/>
      <c r="G85" s="237"/>
      <c r="H85" s="237"/>
      <c r="I85" s="238"/>
      <c r="J85" s="135"/>
      <c r="K85" s="90"/>
      <c r="L85" s="17">
        <v>85</v>
      </c>
      <c r="M85" s="17">
        <f>INDEX('Thermal Shutdown Limit Plot'!E11:F35,MATCH(Tchg_dvdt*(1+F78),'Thermal Shutdown Limit Plot'!F11:F35,-1),1)*0.8</f>
        <v>7.0715199999999996</v>
      </c>
    </row>
    <row r="86" spans="2:13" ht="18" customHeight="1" thickBot="1" x14ac:dyDescent="0.3">
      <c r="L86" s="17">
        <v>25</v>
      </c>
      <c r="M86" s="17">
        <f>INDEX('Thermal Shutdown Limit Plot'!C11:D37,MATCH(Tchg_dvdt*(1+F78),'Thermal Shutdown Limit Plot'!D11:D37,-1),1)*0.8</f>
        <v>10.067632000000001</v>
      </c>
    </row>
    <row r="87" spans="2:13" ht="18" customHeight="1" thickBot="1" x14ac:dyDescent="0.3">
      <c r="B87" s="223" t="s">
        <v>46</v>
      </c>
      <c r="C87" s="224"/>
      <c r="D87" s="224"/>
      <c r="E87" s="224"/>
      <c r="F87" s="82"/>
      <c r="L87" s="222" t="s">
        <v>202</v>
      </c>
      <c r="M87" s="222"/>
    </row>
    <row r="88" spans="2:13" ht="18" customHeight="1" x14ac:dyDescent="0.25">
      <c r="B88" s="85" t="s">
        <v>0</v>
      </c>
      <c r="C88" s="86" t="s">
        <v>1</v>
      </c>
      <c r="D88" s="87" t="s">
        <v>2</v>
      </c>
      <c r="E88" s="88" t="s">
        <v>3</v>
      </c>
      <c r="F88" s="89" t="s">
        <v>63</v>
      </c>
      <c r="L88" s="17">
        <v>125</v>
      </c>
      <c r="M88" s="17">
        <f>INDEX('Thermal Shutdown Limit Plot'!G48:H72,MATCH(Tchg_dvdt*(1+F78),'Thermal Shutdown Limit Plot'!H48:H72,-1),1)*0.8</f>
        <v>4.6442102400000005</v>
      </c>
    </row>
    <row r="89" spans="2:13" ht="18" customHeight="1" x14ac:dyDescent="0.25">
      <c r="B89" s="62" t="s">
        <v>38</v>
      </c>
      <c r="C89" s="63" t="s">
        <v>40</v>
      </c>
      <c r="D89" s="218">
        <f>Imax*Rdson_25deg</f>
        <v>92.6</v>
      </c>
      <c r="E89" s="21" t="s">
        <v>39</v>
      </c>
      <c r="F89" s="27"/>
      <c r="L89" s="17">
        <v>85</v>
      </c>
      <c r="M89" s="17">
        <f>INDEX('Thermal Shutdown Limit Plot'!E48:F70,MATCH(Tchg_dvdt*(1+F78),'Thermal Shutdown Limit Plot'!F48:F70,-1),1)*0.8</f>
        <v>6.3160500000000006</v>
      </c>
    </row>
    <row r="90" spans="2:13" ht="18" customHeight="1" thickBot="1" x14ac:dyDescent="0.3">
      <c r="B90" s="69" t="s">
        <v>96</v>
      </c>
      <c r="C90" s="70" t="s">
        <v>41</v>
      </c>
      <c r="D90" s="220">
        <f>Imax^2*Rdson_25deg</f>
        <v>92.6</v>
      </c>
      <c r="E90" s="84" t="s">
        <v>42</v>
      </c>
      <c r="F90" s="60"/>
      <c r="L90" s="17">
        <v>25</v>
      </c>
      <c r="M90" s="17">
        <f>INDEX('Thermal Shutdown Limit Plot'!C48:D74,MATCH(Tchg_dvdt*(1+F78),'Thermal Shutdown Limit Plot'!D48:D74,-1),1)*0.8</f>
        <v>10.7830472</v>
      </c>
    </row>
    <row r="91" spans="2:13" ht="18" customHeight="1" x14ac:dyDescent="0.25">
      <c r="B91" s="23"/>
      <c r="C91" s="43"/>
      <c r="E91" s="24"/>
      <c r="G91" s="185"/>
    </row>
    <row r="92" spans="2:13" ht="18" customHeight="1" x14ac:dyDescent="0.25">
      <c r="E92" s="24"/>
    </row>
    <row r="93" spans="2:13" ht="18" customHeight="1" x14ac:dyDescent="0.25">
      <c r="E93" s="24"/>
    </row>
    <row r="94" spans="2:13" ht="18" customHeight="1" x14ac:dyDescent="0.25">
      <c r="B94" s="231" t="s">
        <v>20</v>
      </c>
      <c r="C94" s="231"/>
      <c r="D94" s="25"/>
    </row>
    <row r="95" spans="2:13" ht="18" customHeight="1" x14ac:dyDescent="0.25">
      <c r="B95" s="38" t="s">
        <v>37</v>
      </c>
      <c r="D95" s="25"/>
    </row>
    <row r="96" spans="2:13" ht="18" customHeight="1" x14ac:dyDescent="0.25">
      <c r="B96" s="36" t="s">
        <v>0</v>
      </c>
      <c r="C96" s="44" t="s">
        <v>1</v>
      </c>
      <c r="D96" s="37" t="s">
        <v>2</v>
      </c>
      <c r="E96" s="36" t="s">
        <v>3</v>
      </c>
      <c r="F96" s="36" t="s">
        <v>63</v>
      </c>
    </row>
    <row r="97" spans="2:6" ht="18" customHeight="1" x14ac:dyDescent="0.25">
      <c r="B97" s="131" t="s">
        <v>21</v>
      </c>
      <c r="C97" s="96" t="s">
        <v>22</v>
      </c>
      <c r="D97" s="132">
        <v>21</v>
      </c>
      <c r="E97" s="21" t="s">
        <v>6</v>
      </c>
      <c r="F97" s="129"/>
    </row>
    <row r="98" spans="2:6" ht="18" customHeight="1" x14ac:dyDescent="0.25">
      <c r="B98" s="131" t="s">
        <v>23</v>
      </c>
      <c r="C98" s="96" t="s">
        <v>24</v>
      </c>
      <c r="D98" s="132">
        <v>2</v>
      </c>
      <c r="E98" s="21" t="s">
        <v>4</v>
      </c>
      <c r="F98" s="129"/>
    </row>
    <row r="99" spans="2:6" ht="18" customHeight="1" x14ac:dyDescent="0.25">
      <c r="B99" s="131" t="s">
        <v>28</v>
      </c>
      <c r="C99" s="96" t="s">
        <v>29</v>
      </c>
      <c r="D99" s="132">
        <v>92.6</v>
      </c>
      <c r="E99" s="21" t="s">
        <v>27</v>
      </c>
      <c r="F99" s="129"/>
    </row>
    <row r="100" spans="2:6" ht="18" customHeight="1" x14ac:dyDescent="0.25">
      <c r="B100" s="131" t="s">
        <v>26</v>
      </c>
      <c r="C100" s="96" t="s">
        <v>25</v>
      </c>
      <c r="D100" s="133">
        <v>131</v>
      </c>
      <c r="E100" s="21" t="s">
        <v>27</v>
      </c>
      <c r="F100" s="129"/>
    </row>
    <row r="101" spans="2:6" ht="18" customHeight="1" x14ac:dyDescent="0.25">
      <c r="B101" s="38" t="s">
        <v>36</v>
      </c>
      <c r="D101" s="25"/>
    </row>
    <row r="102" spans="2:6" ht="18" customHeight="1" x14ac:dyDescent="0.25">
      <c r="B102" s="131" t="s">
        <v>30</v>
      </c>
      <c r="C102" s="96" t="s">
        <v>33</v>
      </c>
      <c r="D102" s="132">
        <v>150</v>
      </c>
      <c r="E102" s="26" t="s">
        <v>78</v>
      </c>
      <c r="F102" s="130"/>
    </row>
    <row r="103" spans="2:6" ht="18" customHeight="1" x14ac:dyDescent="0.25">
      <c r="B103" s="131" t="s">
        <v>19</v>
      </c>
      <c r="C103" s="96" t="s">
        <v>31</v>
      </c>
      <c r="D103" s="132">
        <v>125</v>
      </c>
      <c r="E103" s="26" t="s">
        <v>78</v>
      </c>
      <c r="F103" s="130"/>
    </row>
    <row r="104" spans="2:6" ht="18" customHeight="1" x14ac:dyDescent="0.25">
      <c r="B104" s="131" t="s">
        <v>80</v>
      </c>
      <c r="C104" s="96" t="s">
        <v>34</v>
      </c>
      <c r="D104" s="132">
        <v>52.7</v>
      </c>
      <c r="E104" s="26" t="s">
        <v>79</v>
      </c>
      <c r="F104" s="130"/>
    </row>
    <row r="105" spans="2:6" ht="18" customHeight="1" x14ac:dyDescent="0.25">
      <c r="B105" s="38" t="s">
        <v>53</v>
      </c>
      <c r="D105" s="25"/>
    </row>
    <row r="106" spans="2:6" ht="18" customHeight="1" x14ac:dyDescent="0.25">
      <c r="B106" s="131" t="s">
        <v>81</v>
      </c>
      <c r="C106" s="96" t="s">
        <v>146</v>
      </c>
      <c r="D106" s="134">
        <v>1.1000000000000001</v>
      </c>
      <c r="E106" s="21" t="s">
        <v>6</v>
      </c>
      <c r="F106" s="129">
        <v>6.3E-2</v>
      </c>
    </row>
    <row r="107" spans="2:6" ht="18" customHeight="1" x14ac:dyDescent="0.25">
      <c r="B107" s="131" t="s">
        <v>122</v>
      </c>
      <c r="C107" s="96" t="s">
        <v>145</v>
      </c>
      <c r="D107" s="134">
        <v>1.2</v>
      </c>
      <c r="E107" s="21" t="s">
        <v>6</v>
      </c>
      <c r="F107" s="129">
        <v>0.03</v>
      </c>
    </row>
    <row r="108" spans="2:6" ht="18" customHeight="1" x14ac:dyDescent="0.25">
      <c r="B108" s="131" t="s">
        <v>126</v>
      </c>
      <c r="C108" s="96" t="s">
        <v>124</v>
      </c>
      <c r="D108" s="134">
        <v>655.6</v>
      </c>
      <c r="E108" s="21" t="s">
        <v>125</v>
      </c>
      <c r="F108" s="129">
        <v>3.6999999999999998E-2</v>
      </c>
    </row>
  </sheetData>
  <sheetProtection password="DDFC" sheet="1" objects="1" scenarios="1" formatColumns="0" formatRows="0" selectLockedCells="1"/>
  <protectedRanges>
    <protectedRange sqref="D75 F75 D70:D71 D60 F60 D37 F37 D34 F34 D19:D23 F19 D10:D12 D28 D16:D17" name="UserInputs"/>
  </protectedRanges>
  <mergeCells count="18">
    <mergeCell ref="B94:C94"/>
    <mergeCell ref="B1:G1"/>
    <mergeCell ref="B74:D74"/>
    <mergeCell ref="B59:D59"/>
    <mergeCell ref="B36:D36"/>
    <mergeCell ref="B85:C85"/>
    <mergeCell ref="D85:I85"/>
    <mergeCell ref="B64:F64"/>
    <mergeCell ref="B81:F81"/>
    <mergeCell ref="B57:F57"/>
    <mergeCell ref="B42:F42"/>
    <mergeCell ref="N1:P1"/>
    <mergeCell ref="L82:M82"/>
    <mergeCell ref="L87:M87"/>
    <mergeCell ref="B87:E87"/>
    <mergeCell ref="B27:C27"/>
    <mergeCell ref="B32:C32"/>
    <mergeCell ref="B48:C48"/>
  </mergeCells>
  <conditionalFormatting sqref="D21">
    <cfRule type="cellIs" dxfId="17" priority="23" operator="greaterThan">
      <formula>4</formula>
    </cfRule>
  </conditionalFormatting>
  <conditionalFormatting sqref="D16:D17">
    <cfRule type="cellIs" dxfId="16" priority="20" operator="lessThan">
      <formula>$D$18</formula>
    </cfRule>
  </conditionalFormatting>
  <conditionalFormatting sqref="D85">
    <cfRule type="cellIs" dxfId="15" priority="18" stopIfTrue="1" operator="equal">
      <formula>"YES"</formula>
    </cfRule>
    <cfRule type="cellIs" dxfId="14" priority="19" operator="notEqual">
      <formula>"YES"</formula>
    </cfRule>
  </conditionalFormatting>
  <conditionalFormatting sqref="D19">
    <cfRule type="expression" dxfId="13" priority="13" stopIfTrue="1">
      <formula>$D$85&lt;&gt;"YES"</formula>
    </cfRule>
  </conditionalFormatting>
  <conditionalFormatting sqref="D71">
    <cfRule type="cellIs" dxfId="12" priority="12" operator="greaterThan">
      <formula>$D$61</formula>
    </cfRule>
  </conditionalFormatting>
  <conditionalFormatting sqref="D70">
    <cfRule type="cellIs" dxfId="11" priority="10" operator="greaterThan">
      <formula>$D$78</formula>
    </cfRule>
    <cfRule type="expression" dxfId="10" priority="11">
      <formula>$D$85&lt;&gt;"YES"</formula>
    </cfRule>
  </conditionalFormatting>
  <conditionalFormatting sqref="D77">
    <cfRule type="cellIs" dxfId="9" priority="9" operator="equal">
      <formula>TRUE</formula>
    </cfRule>
  </conditionalFormatting>
  <conditionalFormatting sqref="D12">
    <cfRule type="cellIs" dxfId="8" priority="31" operator="greaterThan">
      <formula>$D$15</formula>
    </cfRule>
  </conditionalFormatting>
  <conditionalFormatting sqref="D11">
    <cfRule type="cellIs" dxfId="7" priority="8" operator="greaterThan">
      <formula>$D$14</formula>
    </cfRule>
  </conditionalFormatting>
  <conditionalFormatting sqref="D20">
    <cfRule type="cellIs" dxfId="6" priority="34" stopIfTrue="1" operator="lessThan">
      <formula>$G$20</formula>
    </cfRule>
    <cfRule type="expression" dxfId="5" priority="35" stopIfTrue="1">
      <formula>$D$85&lt;&gt;"YES"</formula>
    </cfRule>
  </conditionalFormatting>
  <conditionalFormatting sqref="D22">
    <cfRule type="cellIs" dxfId="4" priority="5" operator="lessThan">
      <formula>$D$21</formula>
    </cfRule>
  </conditionalFormatting>
  <conditionalFormatting sqref="D16">
    <cfRule type="cellIs" dxfId="3" priority="4" operator="greaterThan">
      <formula>$D$11</formula>
    </cfRule>
  </conditionalFormatting>
  <conditionalFormatting sqref="D17">
    <cfRule type="cellIs" dxfId="2" priority="3" operator="greaterThanOrEqual">
      <formula>$D$12</formula>
    </cfRule>
  </conditionalFormatting>
  <conditionalFormatting sqref="D40">
    <cfRule type="cellIs" dxfId="1" priority="2" operator="lessThan">
      <formula>1</formula>
    </cfRule>
  </conditionalFormatting>
  <conditionalFormatting sqref="D55">
    <cfRule type="cellIs" dxfId="0" priority="1" operator="lessThan">
      <formula>1</formula>
    </cfRule>
  </conditionalFormatting>
  <dataValidations xWindow="671" yWindow="631" count="20">
    <dataValidation type="decimal" operator="lessThanOrEqual" allowBlank="1" showInputMessage="1" showErrorMessage="1" errorTitle="Error (Reenter the Value)" error="Enter a value less than Ilimit_final" promptTitle="Restriction" prompt="Enter a value less than Ilimit_final" sqref="D71" xr:uid="{00000000-0002-0000-0000-000000000000}">
      <formula1>D61</formula1>
    </dataValidation>
    <dataValidation errorTitle="Error (Reenter the Value)" error="Only values greater than UVref will be accepted" promptTitle="Restriction" prompt="Please enter a value greater than UVref" sqref="D18" xr:uid="{00000000-0002-0000-0000-000001000000}"/>
    <dataValidation type="decimal" operator="greaterThan" showInputMessage="1" showErrorMessage="1" errorTitle="ERROR!!" error="Start-up Load Resistor is &lt; VCC(max)/Imax, this will prevent start-up." prompt="Start-up Load must be &gt; VCC(max)/Imax" sqref="D20" xr:uid="{00000000-0002-0000-0000-000002000000}">
      <formula1>G20</formula1>
    </dataValidation>
    <dataValidation type="decimal" operator="greaterThanOrEqual" allowBlank="1" showInputMessage="1" showErrorMessage="1" errorTitle="Error (Reenter the Value)" error="Only values &gt;= Tchg_fastest will be accepted" promptTitle="Restriction" prompt="Enter a value &gt;= Tchg_fastest" sqref="D70" xr:uid="{00000000-0002-0000-0000-000003000000}">
      <formula1>D69</formula1>
    </dataValidation>
    <dataValidation type="decimal" allowBlank="1" showInputMessage="1" showErrorMessage="1" error="0.125 &lt;= Ilimit &lt;= 2" prompt="0.125 &lt;= Ilimit &lt;= 2" sqref="D22" xr:uid="{00000000-0002-0000-0000-000004000000}">
      <formula1>0.125</formula1>
      <formula2>2</formula2>
    </dataValidation>
    <dataValidation type="decimal" operator="lessThanOrEqual" allowBlank="1" showInputMessage="1" showErrorMessage="1" error="Imax &lt;= 1.85 A, Max Load current should be less than Maximum Current Limit Setting including Tolerance" prompt="Imax &lt;= 1.85 A" sqref="D21" xr:uid="{00000000-0002-0000-0000-000005000000}">
      <formula1>1.85</formula1>
    </dataValidation>
    <dataValidation type="custom" showInputMessage="1" showErrorMessage="1" errorTitle="Error (Reenter the Value)" error="Only values less than Ilimit_final will be accepted" promptTitle="Restriction" prompt="Please enter a value less than Ilimit_final" sqref="K78" xr:uid="{00000000-0002-0000-0000-000006000000}">
      <formula1>K78&lt;K67</formula1>
    </dataValidation>
    <dataValidation type="custom" showInputMessage="1" showErrorMessage="1" errorTitle="Error (Reenter the Value)" error="Only values greater than Tchg_min will be accepted" promptTitle="Restriction" prompt="Please enter a value greater than Tchg_min calculated" sqref="K77" xr:uid="{00000000-0002-0000-0000-000007000000}">
      <formula1>K77&gt;K76</formula1>
    </dataValidation>
    <dataValidation allowBlank="1" showInputMessage="1" showErrorMessage="1" prompt="Considered 20% as design margin" sqref="D85" xr:uid="{00000000-0002-0000-0000-000008000000}"/>
    <dataValidation type="decimal" operator="greaterThanOrEqual" allowBlank="1" showInputMessage="1" showErrorMessage="1" error="Use OPEN or &gt;=1 nF" prompt="Use OPEN or &gt;=1 nF" sqref="D75" xr:uid="{00000000-0002-0000-0000-000009000000}">
      <formula1>1</formula1>
    </dataValidation>
    <dataValidation type="decimal" operator="lessThanOrEqual" showInputMessage="1" showErrorMessage="1" error="VIN(operating max) must be &lt; Vovc" prompt="VIN(max) must be &lt; VOVC" sqref="D11" xr:uid="{00000000-0002-0000-0000-00000A000000}">
      <formula1>D14</formula1>
    </dataValidation>
    <dataValidation type="decimal" operator="lessThanOrEqual" showInputMessage="1" showErrorMessage="1" error="VIN(operating max) must be &lt; OVLO Set Point" prompt="VIN(max) must be &lt; OVLO Set Point" sqref="D12" xr:uid="{00000000-0002-0000-0000-00000B000000}">
      <formula1>D15</formula1>
    </dataValidation>
    <dataValidation type="decimal" operator="lessThanOrEqual" allowBlank="1" showInputMessage="1" showErrorMessage="1" error="UVset must be &gt;VUVP and &lt; VIN(max)  " prompt="UVset must be &gt;VUVP and &lt; VIN(max)  " sqref="D16" xr:uid="{00000000-0002-0000-0000-00000C000000}">
      <formula1>D11</formula1>
    </dataValidation>
    <dataValidation type="decimal" operator="lessThanOrEqual" allowBlank="1" showInputMessage="1" showErrorMessage="1" error="UVset must be &gt;VUVP and &lt; VIN(max)  " prompt="UVset must be &gt;VUVP and &lt; VIN(max)   " sqref="D17" xr:uid="{00000000-0002-0000-0000-00000D000000}">
      <formula1>D12</formula1>
    </dataValidation>
    <dataValidation type="decimal" operator="lessThanOrEqual" allowBlank="1" showInputMessage="1" showErrorMessage="1" error="OVLO Set Point Should be &lt; 19V" sqref="D15" xr:uid="{00000000-0002-0000-0000-00000E000000}">
      <formula1>19</formula1>
    </dataValidation>
    <dataValidation type="decimal" allowBlank="1" showInputMessage="1" showErrorMessage="1" error="-40 &lt; TA,MAX &lt;= 125" prompt="-40 &lt; TA,MAX &lt;= 125" sqref="D23" xr:uid="{00000000-0002-0000-0000-00000F000000}">
      <formula1>-40</formula1>
      <formula2>125</formula2>
    </dataValidation>
    <dataValidation type="list" allowBlank="1" showInputMessage="1" showErrorMessage="1" sqref="D14" xr:uid="{00000000-0002-0000-0000-000010000000}">
      <formula1>$J$15:$L$15</formula1>
    </dataValidation>
    <dataValidation type="list" allowBlank="1" showInputMessage="1" showErrorMessage="1" error="Choose from the drop-down list" sqref="D10" xr:uid="{00000000-0002-0000-0000-000011000000}">
      <formula1>$N$3:$N$6</formula1>
    </dataValidation>
    <dataValidation allowBlank="1" showInputMessage="1" showErrorMessage="1" prompt="Select R1 and R2 such that I_R12 is &gt; 1 uA" sqref="D40" xr:uid="{00000000-0002-0000-0000-000012000000}"/>
    <dataValidation allowBlank="1" showInputMessage="1" showErrorMessage="1" prompt="Select R1, R2 and R3 such that I_R123 is &gt; 1 uA" sqref="D55" xr:uid="{00000000-0002-0000-0000-000013000000}"/>
  </dataValidations>
  <hyperlinks>
    <hyperlink ref="C20" r:id="rId1" display="Load at start-up (assumed to be resistive), Refer to Section 9.2.2.3.2 in Datasheet" xr:uid="{00000000-0004-0000-0000-000000000000}"/>
  </hyperlinks>
  <pageMargins left="0.7" right="0.7" top="0.75" bottom="0.75" header="0.3" footer="0.3"/>
  <pageSetup orientation="portrait" r:id="rId2"/>
  <drawing r:id="rId3"/>
  <legacy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rgb="FFFF0000"/>
  </sheetPr>
  <dimension ref="A2:Q101"/>
  <sheetViews>
    <sheetView showGridLines="0" zoomScale="85" zoomScaleNormal="85" workbookViewId="0"/>
  </sheetViews>
  <sheetFormatPr defaultColWidth="9.140625" defaultRowHeight="15" x14ac:dyDescent="0.25"/>
  <cols>
    <col min="1" max="1" width="17.7109375" style="3" customWidth="1"/>
    <col min="2" max="2" width="13.28515625" style="3" customWidth="1"/>
    <col min="3" max="3" width="11.7109375" style="3" customWidth="1"/>
    <col min="4" max="4" width="16.85546875" style="3" bestFit="1" customWidth="1"/>
    <col min="5" max="5" width="10.42578125" style="3" bestFit="1" customWidth="1"/>
    <col min="6" max="13" width="10.42578125" style="3" customWidth="1"/>
    <col min="14" max="14" width="8.140625" customWidth="1"/>
    <col min="15" max="15" width="13.85546875" customWidth="1"/>
  </cols>
  <sheetData>
    <row r="2" spans="1:17" x14ac:dyDescent="0.25">
      <c r="B2" s="47" t="s">
        <v>120</v>
      </c>
      <c r="C2" s="47" t="s">
        <v>121</v>
      </c>
    </row>
    <row r="3" spans="1:17" x14ac:dyDescent="0.25">
      <c r="B3" s="47">
        <f>'Calculation Sheet'!D83</f>
        <v>2.4084545454545454</v>
      </c>
      <c r="C3" s="47">
        <f>Tchg_dvdt</f>
        <v>5.9580230196343944</v>
      </c>
    </row>
    <row r="4" spans="1:17" x14ac:dyDescent="0.25">
      <c r="B4" s="32"/>
      <c r="C4" s="32"/>
    </row>
    <row r="5" spans="1:17" x14ac:dyDescent="0.25">
      <c r="B5" s="32"/>
      <c r="C5" s="32"/>
    </row>
    <row r="6" spans="1:17" x14ac:dyDescent="0.25">
      <c r="B6" s="32"/>
      <c r="C6" s="32"/>
    </row>
    <row r="8" spans="1:17" ht="15.75" thickBot="1" x14ac:dyDescent="0.3">
      <c r="A8" s="48" t="s">
        <v>131</v>
      </c>
      <c r="B8" s="49"/>
      <c r="C8" s="49"/>
      <c r="D8" s="49"/>
      <c r="K8" s="29" t="s">
        <v>84</v>
      </c>
      <c r="L8"/>
      <c r="M8" s="28" t="s">
        <v>83</v>
      </c>
      <c r="N8" s="30"/>
      <c r="O8" s="30"/>
      <c r="P8" s="30"/>
      <c r="Q8" s="30"/>
    </row>
    <row r="9" spans="1:17" ht="16.5" customHeight="1" x14ac:dyDescent="0.25">
      <c r="A9" s="244" t="s">
        <v>188</v>
      </c>
      <c r="B9" s="244"/>
      <c r="C9" s="244" t="s">
        <v>189</v>
      </c>
      <c r="D9" s="244"/>
      <c r="E9" s="244" t="s">
        <v>190</v>
      </c>
      <c r="F9" s="244"/>
      <c r="G9" s="244" t="s">
        <v>191</v>
      </c>
      <c r="H9" s="244"/>
      <c r="I9" s="52"/>
      <c r="J9" s="49"/>
      <c r="K9"/>
      <c r="L9"/>
      <c r="M9" s="31"/>
    </row>
    <row r="10" spans="1:17" ht="16.5" customHeight="1" x14ac:dyDescent="0.25">
      <c r="A10" s="51" t="s">
        <v>192</v>
      </c>
      <c r="B10" s="51" t="s">
        <v>193</v>
      </c>
      <c r="C10" s="51" t="s">
        <v>192</v>
      </c>
      <c r="D10" s="51" t="s">
        <v>193</v>
      </c>
      <c r="E10" s="51" t="s">
        <v>192</v>
      </c>
      <c r="F10" s="51" t="s">
        <v>193</v>
      </c>
      <c r="G10" s="51" t="s">
        <v>192</v>
      </c>
      <c r="H10" s="51" t="s">
        <v>193</v>
      </c>
      <c r="I10" s="12"/>
      <c r="J10" s="46"/>
      <c r="K10" s="33" t="s">
        <v>194</v>
      </c>
      <c r="L10" t="s">
        <v>85</v>
      </c>
      <c r="M10" s="34" t="s">
        <v>86</v>
      </c>
    </row>
    <row r="11" spans="1:17" x14ac:dyDescent="0.25">
      <c r="A11" s="47">
        <v>4.6677672000000001</v>
      </c>
      <c r="B11" s="47">
        <v>15610</v>
      </c>
      <c r="C11" s="47">
        <v>3.3083904000000004</v>
      </c>
      <c r="D11" s="47">
        <v>14720</v>
      </c>
      <c r="E11" s="47">
        <v>1.931697</v>
      </c>
      <c r="F11" s="47">
        <v>13390</v>
      </c>
      <c r="G11" s="47">
        <v>0.98035890000000003</v>
      </c>
      <c r="H11" s="47">
        <v>12240</v>
      </c>
      <c r="I11" s="32"/>
      <c r="J11" s="46"/>
      <c r="K11"/>
      <c r="L11" t="s">
        <v>118</v>
      </c>
      <c r="M11" s="34" t="s">
        <v>119</v>
      </c>
    </row>
    <row r="12" spans="1:17" x14ac:dyDescent="0.25">
      <c r="A12" s="47">
        <v>4.8448399999999996</v>
      </c>
      <c r="B12" s="47">
        <v>11100</v>
      </c>
      <c r="C12" s="47">
        <v>3.4777304999999998</v>
      </c>
      <c r="D12" s="47">
        <v>10400</v>
      </c>
      <c r="E12" s="47">
        <v>2.0282184000000001</v>
      </c>
      <c r="F12" s="47">
        <v>12320</v>
      </c>
      <c r="G12" s="47">
        <v>1.0744271999999999</v>
      </c>
      <c r="H12" s="47">
        <v>9459</v>
      </c>
      <c r="I12" s="32"/>
      <c r="J12" s="46"/>
      <c r="K12" s="46"/>
      <c r="L12" s="46"/>
      <c r="M12" s="46"/>
      <c r="N12" s="45"/>
      <c r="Q12" s="31"/>
    </row>
    <row r="13" spans="1:17" x14ac:dyDescent="0.25">
      <c r="A13" s="47">
        <v>5.12967</v>
      </c>
      <c r="B13" s="47">
        <v>7707</v>
      </c>
      <c r="C13" s="47">
        <v>3.6426454999999995</v>
      </c>
      <c r="D13" s="47">
        <v>8109</v>
      </c>
      <c r="E13" s="47">
        <v>2.1172004000000002</v>
      </c>
      <c r="F13" s="47">
        <v>7698</v>
      </c>
      <c r="G13" s="47">
        <v>1.3924799999999999</v>
      </c>
      <c r="H13" s="47">
        <v>6395</v>
      </c>
      <c r="I13" s="32"/>
      <c r="J13" s="46"/>
      <c r="K13" s="46"/>
      <c r="L13" s="46"/>
      <c r="M13" s="46"/>
      <c r="N13" s="45"/>
      <c r="Q13" s="34"/>
    </row>
    <row r="14" spans="1:17" x14ac:dyDescent="0.25">
      <c r="A14" s="47">
        <v>5.2304863999999993</v>
      </c>
      <c r="B14" s="47">
        <v>6703</v>
      </c>
      <c r="C14" s="47">
        <v>4.008</v>
      </c>
      <c r="D14" s="47">
        <v>4688</v>
      </c>
      <c r="E14" s="47">
        <v>2.2043174999999997</v>
      </c>
      <c r="F14" s="47">
        <v>5925</v>
      </c>
      <c r="G14" s="47">
        <v>1.4789298</v>
      </c>
      <c r="H14" s="47">
        <v>3656</v>
      </c>
      <c r="I14" s="32"/>
      <c r="J14" s="46"/>
      <c r="K14" s="46"/>
      <c r="L14" s="46"/>
      <c r="M14" s="46"/>
      <c r="N14" s="39"/>
      <c r="Q14" s="34"/>
    </row>
    <row r="15" spans="1:17" x14ac:dyDescent="0.25">
      <c r="A15" s="47">
        <v>5.6380618999999994</v>
      </c>
      <c r="B15" s="47">
        <v>4820</v>
      </c>
      <c r="C15" s="47">
        <v>4.2149956</v>
      </c>
      <c r="D15" s="47">
        <v>4308</v>
      </c>
      <c r="E15" s="47">
        <v>2.5954280000000001</v>
      </c>
      <c r="F15" s="47">
        <v>4705</v>
      </c>
      <c r="G15" s="47">
        <v>1.5936159999999999</v>
      </c>
      <c r="H15" s="47">
        <v>2885</v>
      </c>
      <c r="I15" s="32"/>
      <c r="J15" s="46"/>
      <c r="K15" s="46"/>
      <c r="L15" s="46"/>
      <c r="M15" s="46"/>
      <c r="N15" s="39"/>
      <c r="Q15" s="31"/>
    </row>
    <row r="16" spans="1:17" x14ac:dyDescent="0.25">
      <c r="A16" s="47">
        <v>6.1074200000000003</v>
      </c>
      <c r="B16" s="47">
        <v>4406</v>
      </c>
      <c r="C16" s="47">
        <v>4.52956</v>
      </c>
      <c r="D16" s="47">
        <v>3159</v>
      </c>
      <c r="E16" s="47">
        <v>2.784465</v>
      </c>
      <c r="F16" s="47">
        <v>3955</v>
      </c>
      <c r="G16" s="47">
        <v>1.613016</v>
      </c>
      <c r="H16" s="47">
        <v>1736</v>
      </c>
      <c r="I16" s="32"/>
      <c r="J16" s="46"/>
      <c r="K16" s="46"/>
      <c r="L16" s="46"/>
      <c r="M16" s="46"/>
      <c r="N16" s="45"/>
      <c r="Q16" s="31"/>
    </row>
    <row r="17" spans="1:17" x14ac:dyDescent="0.25">
      <c r="A17" s="47">
        <v>6.4708800000000002</v>
      </c>
      <c r="B17" s="47">
        <v>3588</v>
      </c>
      <c r="C17" s="47">
        <v>5.2935420000000004</v>
      </c>
      <c r="D17" s="47">
        <v>2386</v>
      </c>
      <c r="E17" s="47">
        <v>2.8101020000000001</v>
      </c>
      <c r="F17" s="47">
        <v>3440</v>
      </c>
      <c r="G17" s="47">
        <v>1.6613059999999999</v>
      </c>
      <c r="H17" s="47">
        <v>1575</v>
      </c>
      <c r="I17" s="32"/>
      <c r="J17" s="46"/>
      <c r="K17" s="46"/>
      <c r="L17" s="46"/>
      <c r="M17" s="46"/>
      <c r="N17" s="39"/>
      <c r="Q17" s="35"/>
    </row>
    <row r="18" spans="1:17" x14ac:dyDescent="0.25">
      <c r="A18" s="47">
        <v>6.6616280000000003</v>
      </c>
      <c r="B18" s="47">
        <v>3022</v>
      </c>
      <c r="C18" s="47">
        <v>5.4131999999999998</v>
      </c>
      <c r="D18" s="47">
        <v>1901</v>
      </c>
      <c r="E18" s="47">
        <v>3.0081239999999996</v>
      </c>
      <c r="F18" s="47">
        <v>2701</v>
      </c>
      <c r="G18" s="47">
        <v>1.7863023</v>
      </c>
      <c r="H18" s="47">
        <v>1023</v>
      </c>
      <c r="I18" s="32"/>
      <c r="J18" s="46"/>
      <c r="K18" s="46"/>
      <c r="L18" s="46"/>
      <c r="M18" s="46"/>
      <c r="N18" s="39"/>
      <c r="Q18" s="35"/>
    </row>
    <row r="19" spans="1:17" x14ac:dyDescent="0.25">
      <c r="A19" s="47">
        <v>7.0372570000000003</v>
      </c>
      <c r="B19" s="47">
        <v>2052</v>
      </c>
      <c r="C19" s="47">
        <v>5.5413559999999995</v>
      </c>
      <c r="D19" s="47">
        <v>1811</v>
      </c>
      <c r="E19" s="47">
        <v>3.0205350000000002</v>
      </c>
      <c r="F19" s="47">
        <v>2447</v>
      </c>
      <c r="G19" s="47">
        <v>1.9034899000000001</v>
      </c>
      <c r="H19" s="47">
        <v>782.4</v>
      </c>
      <c r="I19" s="32"/>
      <c r="J19" s="46"/>
      <c r="K19" s="46"/>
      <c r="L19" s="46"/>
      <c r="M19" s="46"/>
      <c r="N19" s="39"/>
    </row>
    <row r="20" spans="1:17" x14ac:dyDescent="0.25">
      <c r="A20" s="47">
        <v>7.2235519999999998</v>
      </c>
      <c r="B20" s="47">
        <v>1878</v>
      </c>
      <c r="C20" s="47">
        <v>5.720923</v>
      </c>
      <c r="D20" s="47">
        <v>1531</v>
      </c>
      <c r="E20" s="47">
        <v>3.1549559999999999</v>
      </c>
      <c r="F20" s="47">
        <v>1999</v>
      </c>
      <c r="G20" s="47">
        <v>2.0597099999999999</v>
      </c>
      <c r="H20" s="47">
        <v>616</v>
      </c>
      <c r="I20" s="32"/>
      <c r="J20" s="46"/>
      <c r="K20" s="46"/>
      <c r="L20" s="46"/>
      <c r="M20" s="46"/>
      <c r="N20" s="39"/>
    </row>
    <row r="21" spans="1:17" x14ac:dyDescent="0.25">
      <c r="A21" s="47">
        <v>7.6108510000000003</v>
      </c>
      <c r="B21" s="47">
        <v>1362</v>
      </c>
      <c r="C21" s="47">
        <v>5.8144589999999994</v>
      </c>
      <c r="D21" s="47">
        <v>1351</v>
      </c>
      <c r="E21" s="47">
        <v>3.36592</v>
      </c>
      <c r="F21" s="47">
        <v>1573</v>
      </c>
      <c r="G21" s="47">
        <v>2.231055</v>
      </c>
      <c r="H21" s="47">
        <v>352.7</v>
      </c>
      <c r="I21" s="32"/>
      <c r="J21" s="46"/>
      <c r="K21" s="46"/>
      <c r="L21" s="46"/>
      <c r="M21" s="46"/>
      <c r="N21" s="39"/>
    </row>
    <row r="22" spans="1:17" x14ac:dyDescent="0.25">
      <c r="A22" s="47">
        <v>8.0334850000000007</v>
      </c>
      <c r="B22" s="47">
        <v>1073</v>
      </c>
      <c r="C22" s="47">
        <v>5.8617519999999992</v>
      </c>
      <c r="D22" s="47">
        <v>1314</v>
      </c>
      <c r="E22" s="47">
        <v>3.4024220000000001</v>
      </c>
      <c r="F22" s="47">
        <v>1443</v>
      </c>
      <c r="G22" s="47">
        <v>2.62676</v>
      </c>
      <c r="H22" s="47">
        <v>241.5</v>
      </c>
      <c r="I22" s="32"/>
      <c r="J22" s="46"/>
      <c r="K22" s="46"/>
      <c r="L22" s="46"/>
      <c r="M22" s="46"/>
      <c r="N22" s="39"/>
    </row>
    <row r="23" spans="1:17" x14ac:dyDescent="0.25">
      <c r="A23" s="47">
        <v>8.4687570000000019</v>
      </c>
      <c r="B23" s="47">
        <v>682.7</v>
      </c>
      <c r="C23" s="47">
        <v>6.0683700000000007</v>
      </c>
      <c r="D23" s="47">
        <v>1015</v>
      </c>
      <c r="E23" s="47">
        <v>3.8137250000000003</v>
      </c>
      <c r="F23" s="47">
        <v>954.4</v>
      </c>
      <c r="G23" s="47">
        <v>3.000413</v>
      </c>
      <c r="H23" s="47">
        <v>117.7</v>
      </c>
      <c r="I23" s="32"/>
      <c r="J23" s="46"/>
      <c r="K23" s="46"/>
      <c r="L23" s="46"/>
      <c r="M23" s="46"/>
      <c r="N23" s="45"/>
    </row>
    <row r="24" spans="1:17" x14ac:dyDescent="0.25">
      <c r="A24" s="47">
        <v>8.8463750000000019</v>
      </c>
      <c r="B24" s="47">
        <v>627</v>
      </c>
      <c r="C24" s="47">
        <v>6.2770799999999998</v>
      </c>
      <c r="D24" s="47">
        <v>699.9</v>
      </c>
      <c r="E24" s="47">
        <v>4.1537999999999995</v>
      </c>
      <c r="F24" s="47">
        <v>717.2</v>
      </c>
      <c r="G24" s="47">
        <v>3.0914520000000003</v>
      </c>
      <c r="H24" s="47">
        <v>85.61</v>
      </c>
      <c r="I24" s="32"/>
      <c r="J24" s="46"/>
      <c r="K24" s="46"/>
      <c r="L24" s="46"/>
      <c r="M24" s="46"/>
      <c r="N24" s="45"/>
    </row>
    <row r="25" spans="1:17" x14ac:dyDescent="0.25">
      <c r="A25" s="47">
        <v>9.2627900000000007</v>
      </c>
      <c r="B25" s="47">
        <v>487.8</v>
      </c>
      <c r="C25" s="47">
        <v>6.6243239999999997</v>
      </c>
      <c r="D25" s="47">
        <v>567.4</v>
      </c>
      <c r="E25" s="47">
        <v>4.6304549999999995</v>
      </c>
      <c r="F25" s="47">
        <v>416.1</v>
      </c>
      <c r="G25" s="47">
        <v>3.3843150000000004</v>
      </c>
      <c r="H25" s="47">
        <v>63.86</v>
      </c>
      <c r="I25" s="32"/>
      <c r="J25" s="46"/>
      <c r="K25" s="46"/>
      <c r="L25" s="46"/>
      <c r="M25" s="46"/>
      <c r="N25" s="45"/>
    </row>
    <row r="26" spans="1:17" x14ac:dyDescent="0.25">
      <c r="A26" s="47">
        <v>9.6714940000000009</v>
      </c>
      <c r="B26" s="47">
        <v>373.4</v>
      </c>
      <c r="C26" s="47">
        <v>7.0359600000000002</v>
      </c>
      <c r="D26" s="47">
        <v>393.7</v>
      </c>
      <c r="E26" s="47">
        <v>5.0058120000000006</v>
      </c>
      <c r="F26" s="47">
        <v>287.10000000000002</v>
      </c>
      <c r="G26" s="47">
        <v>3.5797500000000002</v>
      </c>
      <c r="H26" s="47">
        <v>49.5</v>
      </c>
      <c r="I26" s="32"/>
      <c r="J26" s="46"/>
      <c r="K26" s="46"/>
      <c r="L26" s="46"/>
      <c r="M26" s="46"/>
      <c r="N26" s="39"/>
    </row>
    <row r="27" spans="1:17" x14ac:dyDescent="0.25">
      <c r="A27" s="47">
        <v>10.109862000000001</v>
      </c>
      <c r="B27" s="47">
        <v>294.8</v>
      </c>
      <c r="C27" s="47">
        <v>7.461530999999999</v>
      </c>
      <c r="D27" s="47">
        <v>284.10000000000002</v>
      </c>
      <c r="E27" s="47">
        <v>5.3967150000000004</v>
      </c>
      <c r="F27" s="47">
        <v>182.5</v>
      </c>
      <c r="G27" s="47">
        <v>3.6126450000000001</v>
      </c>
      <c r="H27" s="47">
        <v>36.83</v>
      </c>
      <c r="I27" s="32"/>
      <c r="J27" s="46"/>
      <c r="K27" s="46"/>
      <c r="L27" s="46"/>
      <c r="M27" s="46"/>
      <c r="N27" s="45"/>
    </row>
    <row r="28" spans="1:17" x14ac:dyDescent="0.25">
      <c r="A28" s="47">
        <v>10.492485</v>
      </c>
      <c r="B28" s="47">
        <v>231.3</v>
      </c>
      <c r="C28" s="47">
        <v>7.8616999999999999</v>
      </c>
      <c r="D28" s="47">
        <v>204.3</v>
      </c>
      <c r="E28" s="47">
        <v>5.6366700000000005</v>
      </c>
      <c r="F28" s="47">
        <v>113.4</v>
      </c>
      <c r="G28" s="47">
        <v>3.85839</v>
      </c>
      <c r="H28" s="47">
        <v>29.79</v>
      </c>
      <c r="I28" s="32"/>
      <c r="J28" s="46"/>
      <c r="K28" s="46"/>
      <c r="L28" s="46"/>
      <c r="M28" s="46"/>
      <c r="N28" s="45"/>
    </row>
    <row r="29" spans="1:17" x14ac:dyDescent="0.25">
      <c r="A29" s="47">
        <v>10.872640000000001</v>
      </c>
      <c r="B29" s="47">
        <v>160.5</v>
      </c>
      <c r="C29" s="47">
        <v>8.306855999999998</v>
      </c>
      <c r="D29" s="47">
        <v>137</v>
      </c>
      <c r="E29" s="47">
        <v>5.9868899999999998</v>
      </c>
      <c r="F29" s="47">
        <v>70.94</v>
      </c>
      <c r="G29" s="47">
        <v>4.1931449999999995</v>
      </c>
      <c r="H29" s="47">
        <v>24.8</v>
      </c>
      <c r="I29" s="32"/>
      <c r="J29" s="46"/>
      <c r="K29" s="46"/>
      <c r="L29" s="46"/>
      <c r="M29" s="46"/>
      <c r="N29" s="45"/>
    </row>
    <row r="30" spans="1:17" x14ac:dyDescent="0.25">
      <c r="A30" s="47">
        <v>11.276704000000001</v>
      </c>
      <c r="B30" s="47">
        <v>137.6</v>
      </c>
      <c r="C30" s="47">
        <v>8.7628249999999994</v>
      </c>
      <c r="D30" s="47">
        <v>103.6</v>
      </c>
      <c r="E30" s="47">
        <v>6.3427559999999996</v>
      </c>
      <c r="F30" s="47">
        <v>45.38</v>
      </c>
      <c r="G30" s="47">
        <v>4.7593800000000002</v>
      </c>
      <c r="H30" s="47">
        <v>16.079999999999998</v>
      </c>
      <c r="I30" s="32"/>
      <c r="J30" s="46"/>
      <c r="K30" s="46"/>
      <c r="L30" s="46"/>
      <c r="M30" s="46"/>
      <c r="N30" s="45"/>
    </row>
    <row r="31" spans="1:17" x14ac:dyDescent="0.25">
      <c r="A31" s="47">
        <v>11.63392</v>
      </c>
      <c r="B31" s="47">
        <v>107.1</v>
      </c>
      <c r="C31" s="47">
        <v>9.1480430000000013</v>
      </c>
      <c r="D31" s="47">
        <v>69.180000000000007</v>
      </c>
      <c r="E31" s="47">
        <v>6.8305499999999997</v>
      </c>
      <c r="F31" s="47">
        <v>30.44</v>
      </c>
      <c r="G31" s="47"/>
      <c r="H31" s="47"/>
      <c r="I31" s="32"/>
      <c r="J31" s="46"/>
      <c r="K31" s="46"/>
      <c r="L31" s="46"/>
      <c r="M31" s="46"/>
      <c r="N31" s="45"/>
    </row>
    <row r="32" spans="1:17" x14ac:dyDescent="0.25">
      <c r="A32" s="47">
        <v>11.945050000000002</v>
      </c>
      <c r="B32" s="47">
        <v>80.27</v>
      </c>
      <c r="C32" s="47">
        <v>9.5026049999999991</v>
      </c>
      <c r="D32" s="47">
        <v>42.12</v>
      </c>
      <c r="E32" s="47">
        <v>7.2388350000000008</v>
      </c>
      <c r="F32" s="47">
        <v>18.47</v>
      </c>
      <c r="G32" s="47"/>
      <c r="H32" s="47"/>
      <c r="I32" s="32"/>
      <c r="J32" s="46"/>
      <c r="K32" s="46"/>
      <c r="L32" s="46"/>
      <c r="M32" s="46"/>
      <c r="N32" s="45"/>
    </row>
    <row r="33" spans="1:17" x14ac:dyDescent="0.25">
      <c r="A33" s="47">
        <v>12.931856</v>
      </c>
      <c r="B33" s="47">
        <v>21.37</v>
      </c>
      <c r="C33" s="47">
        <v>9.9751699999999985</v>
      </c>
      <c r="D33" s="47">
        <v>25.2</v>
      </c>
      <c r="E33" s="47">
        <v>8.0070300000000003</v>
      </c>
      <c r="F33" s="47">
        <v>12.7</v>
      </c>
      <c r="G33" s="47"/>
      <c r="H33" s="47"/>
      <c r="I33" s="32"/>
    </row>
    <row r="34" spans="1:17" x14ac:dyDescent="0.25">
      <c r="A34" s="47">
        <v>14.02908</v>
      </c>
      <c r="B34" s="47">
        <v>14.93</v>
      </c>
      <c r="C34" s="47">
        <v>10.426212000000001</v>
      </c>
      <c r="D34" s="47">
        <v>18.7</v>
      </c>
      <c r="E34" s="47">
        <v>8.8393999999999995</v>
      </c>
      <c r="F34" s="47">
        <v>7.9669999999999996</v>
      </c>
      <c r="G34" s="47"/>
      <c r="H34" s="47"/>
      <c r="I34" s="32"/>
    </row>
    <row r="35" spans="1:17" x14ac:dyDescent="0.25">
      <c r="A35" s="47">
        <v>14.914695</v>
      </c>
      <c r="B35" s="47">
        <v>12.43</v>
      </c>
      <c r="C35" s="47">
        <v>11.508699999999999</v>
      </c>
      <c r="D35" s="47">
        <v>12.24</v>
      </c>
      <c r="E35" s="47">
        <v>10.00705</v>
      </c>
      <c r="F35" s="47">
        <v>5.5789999999999997</v>
      </c>
      <c r="G35" s="47"/>
      <c r="H35" s="47"/>
      <c r="I35" s="32"/>
    </row>
    <row r="36" spans="1:17" x14ac:dyDescent="0.25">
      <c r="A36" s="47">
        <v>16.083785000000002</v>
      </c>
      <c r="B36" s="47">
        <v>9.9309999999999992</v>
      </c>
      <c r="C36" s="47">
        <v>12.584540000000001</v>
      </c>
      <c r="D36" s="47">
        <v>9.6120000000000001</v>
      </c>
      <c r="E36" s="47"/>
      <c r="F36" s="47"/>
      <c r="G36" s="47"/>
      <c r="H36" s="47"/>
      <c r="I36" s="32"/>
    </row>
    <row r="37" spans="1:17" x14ac:dyDescent="0.25">
      <c r="A37" s="47">
        <v>16.928345000000004</v>
      </c>
      <c r="B37" s="47">
        <v>8.5980000000000008</v>
      </c>
      <c r="C37" s="47">
        <v>14.583699999999999</v>
      </c>
      <c r="D37" s="47">
        <v>6.3479999999999999</v>
      </c>
      <c r="E37" s="47"/>
      <c r="F37" s="47"/>
      <c r="G37" s="47"/>
      <c r="H37" s="47"/>
      <c r="I37" s="32"/>
    </row>
    <row r="38" spans="1:17" x14ac:dyDescent="0.25">
      <c r="B38" s="32"/>
      <c r="C38" s="32"/>
      <c r="D38" s="32"/>
    </row>
    <row r="39" spans="1:17" x14ac:dyDescent="0.25">
      <c r="B39" s="32"/>
      <c r="C39" s="32"/>
      <c r="D39" s="32"/>
    </row>
    <row r="40" spans="1:17" hidden="1" x14ac:dyDescent="0.25">
      <c r="B40" s="32"/>
      <c r="C40" s="32"/>
      <c r="D40" s="32"/>
    </row>
    <row r="41" spans="1:17" hidden="1" x14ac:dyDescent="0.25">
      <c r="B41" s="32"/>
      <c r="C41" s="32"/>
      <c r="D41" s="32"/>
    </row>
    <row r="42" spans="1:17" hidden="1" x14ac:dyDescent="0.25">
      <c r="B42" s="32"/>
      <c r="C42" s="32"/>
      <c r="D42" s="32"/>
    </row>
    <row r="43" spans="1:17" hidden="1" x14ac:dyDescent="0.25">
      <c r="B43" s="32"/>
      <c r="C43" s="32"/>
      <c r="D43" s="32"/>
    </row>
    <row r="44" spans="1:17" hidden="1" x14ac:dyDescent="0.25"/>
    <row r="45" spans="1:17" ht="15.75" hidden="1" thickBot="1" x14ac:dyDescent="0.3">
      <c r="A45" s="48" t="s">
        <v>131</v>
      </c>
      <c r="B45" s="49"/>
      <c r="C45" s="49"/>
      <c r="D45" s="49"/>
      <c r="K45" s="29" t="s">
        <v>84</v>
      </c>
      <c r="L45"/>
      <c r="M45" s="28" t="s">
        <v>83</v>
      </c>
      <c r="N45" s="30"/>
      <c r="O45" s="30"/>
      <c r="P45" s="30"/>
      <c r="Q45" s="30"/>
    </row>
    <row r="46" spans="1:17" ht="16.5" hidden="1" customHeight="1" x14ac:dyDescent="0.25">
      <c r="A46" s="244" t="s">
        <v>188</v>
      </c>
      <c r="B46" s="244"/>
      <c r="C46" s="244" t="s">
        <v>189</v>
      </c>
      <c r="D46" s="244"/>
      <c r="E46" s="244" t="s">
        <v>190</v>
      </c>
      <c r="F46" s="244"/>
      <c r="G46" s="244" t="s">
        <v>191</v>
      </c>
      <c r="H46" s="244"/>
      <c r="I46" s="52"/>
      <c r="J46" s="49"/>
      <c r="K46"/>
      <c r="L46"/>
      <c r="M46" s="31"/>
    </row>
    <row r="47" spans="1:17" ht="16.5" hidden="1" customHeight="1" x14ac:dyDescent="0.25">
      <c r="A47" s="51" t="s">
        <v>192</v>
      </c>
      <c r="B47" s="51" t="s">
        <v>193</v>
      </c>
      <c r="C47" s="51" t="s">
        <v>192</v>
      </c>
      <c r="D47" s="51" t="s">
        <v>193</v>
      </c>
      <c r="E47" s="51" t="s">
        <v>192</v>
      </c>
      <c r="F47" s="51" t="s">
        <v>193</v>
      </c>
      <c r="G47" s="51" t="s">
        <v>192</v>
      </c>
      <c r="H47" s="51" t="s">
        <v>193</v>
      </c>
      <c r="I47" s="12"/>
      <c r="J47" s="46"/>
      <c r="K47" s="33" t="s">
        <v>194</v>
      </c>
      <c r="L47" t="s">
        <v>85</v>
      </c>
      <c r="M47" s="34" t="s">
        <v>86</v>
      </c>
    </row>
    <row r="48" spans="1:17" hidden="1" x14ac:dyDescent="0.25">
      <c r="A48" s="47">
        <v>4.4367456000000001</v>
      </c>
      <c r="B48" s="47">
        <v>10220</v>
      </c>
      <c r="C48" s="47">
        <v>3.0127229999999998</v>
      </c>
      <c r="D48" s="47">
        <v>12550</v>
      </c>
      <c r="E48" s="47">
        <v>1.6567191999999999</v>
      </c>
      <c r="F48" s="47">
        <v>12250</v>
      </c>
      <c r="G48" s="47">
        <v>0.97611998999999994</v>
      </c>
      <c r="H48" s="47">
        <v>14270</v>
      </c>
      <c r="I48" s="32"/>
      <c r="J48" s="46"/>
      <c r="K48"/>
      <c r="L48" t="s">
        <v>118</v>
      </c>
      <c r="M48" s="34" t="s">
        <v>119</v>
      </c>
    </row>
    <row r="49" spans="1:17" hidden="1" x14ac:dyDescent="0.25">
      <c r="A49" s="47">
        <v>4.8383284</v>
      </c>
      <c r="B49" s="47">
        <v>6271</v>
      </c>
      <c r="C49" s="47">
        <v>3.1977791999999998</v>
      </c>
      <c r="D49" s="47">
        <v>8571</v>
      </c>
      <c r="E49" s="47">
        <v>1.9570227</v>
      </c>
      <c r="F49" s="47">
        <v>6781</v>
      </c>
      <c r="G49" s="47">
        <v>1.1563899999999998</v>
      </c>
      <c r="H49" s="47">
        <v>5134</v>
      </c>
      <c r="I49" s="32"/>
      <c r="J49" s="46"/>
      <c r="K49" s="46"/>
      <c r="L49" s="46"/>
      <c r="M49" s="46"/>
      <c r="N49" s="45"/>
      <c r="Q49" s="31"/>
    </row>
    <row r="50" spans="1:17" hidden="1" x14ac:dyDescent="0.25">
      <c r="A50" s="47">
        <v>5.0795795999999998</v>
      </c>
      <c r="B50" s="47">
        <v>5204</v>
      </c>
      <c r="C50" s="47">
        <v>3.3909883999999999</v>
      </c>
      <c r="D50" s="47">
        <v>6326</v>
      </c>
      <c r="E50" s="47">
        <v>2.1441411000000001</v>
      </c>
      <c r="F50" s="47">
        <v>4497</v>
      </c>
      <c r="G50" s="47">
        <v>1.3497736</v>
      </c>
      <c r="H50" s="47">
        <v>2754</v>
      </c>
      <c r="I50" s="32"/>
      <c r="J50" s="46"/>
      <c r="K50" s="46"/>
      <c r="L50" s="46"/>
      <c r="M50" s="46"/>
      <c r="N50" s="45"/>
      <c r="Q50" s="34"/>
    </row>
    <row r="51" spans="1:17" hidden="1" x14ac:dyDescent="0.25">
      <c r="A51" s="47">
        <v>5.3401158999999998</v>
      </c>
      <c r="B51" s="47">
        <v>3950</v>
      </c>
      <c r="C51" s="47">
        <v>3.4986599999999997</v>
      </c>
      <c r="D51" s="47">
        <v>5837</v>
      </c>
      <c r="E51" s="47">
        <v>2.4442880000000002</v>
      </c>
      <c r="F51" s="47">
        <v>2770</v>
      </c>
      <c r="G51" s="47">
        <v>1.452135</v>
      </c>
      <c r="H51" s="47">
        <v>2160</v>
      </c>
      <c r="I51" s="32"/>
      <c r="J51" s="46"/>
      <c r="K51" s="46"/>
      <c r="L51" s="46"/>
      <c r="M51" s="46"/>
      <c r="N51" s="39"/>
      <c r="Q51" s="34"/>
    </row>
    <row r="52" spans="1:17" hidden="1" x14ac:dyDescent="0.25">
      <c r="A52" s="47">
        <v>5.5776600000000007</v>
      </c>
      <c r="B52" s="47">
        <v>3345</v>
      </c>
      <c r="C52" s="47">
        <v>3.6847799999999999</v>
      </c>
      <c r="D52" s="47">
        <v>4502</v>
      </c>
      <c r="E52" s="47">
        <v>2.6650624000000001</v>
      </c>
      <c r="F52" s="47">
        <v>2009</v>
      </c>
      <c r="G52" s="47">
        <v>1.5454332</v>
      </c>
      <c r="H52" s="47">
        <v>1665</v>
      </c>
      <c r="I52" s="32"/>
      <c r="J52" s="46"/>
      <c r="K52" s="46"/>
      <c r="L52" s="46"/>
      <c r="M52" s="46"/>
      <c r="N52" s="39"/>
      <c r="Q52" s="31"/>
    </row>
    <row r="53" spans="1:17" hidden="1" x14ac:dyDescent="0.25">
      <c r="A53" s="47">
        <v>5.8536960000000002</v>
      </c>
      <c r="B53" s="47">
        <v>2739</v>
      </c>
      <c r="C53" s="47">
        <v>3.8662080000000003</v>
      </c>
      <c r="D53" s="47">
        <v>3797</v>
      </c>
      <c r="E53" s="47">
        <v>2.9737149999999999</v>
      </c>
      <c r="F53" s="47">
        <v>1491</v>
      </c>
      <c r="G53" s="47">
        <v>1.6486350000000001</v>
      </c>
      <c r="H53" s="47">
        <v>1367</v>
      </c>
      <c r="I53" s="32"/>
      <c r="J53" s="46"/>
      <c r="K53" s="46"/>
      <c r="L53" s="46"/>
      <c r="M53" s="46"/>
      <c r="N53" s="45"/>
      <c r="Q53" s="31"/>
    </row>
    <row r="54" spans="1:17" hidden="1" x14ac:dyDescent="0.25">
      <c r="A54" s="47">
        <v>6.1498799999999996</v>
      </c>
      <c r="B54" s="47">
        <v>2244</v>
      </c>
      <c r="C54" s="47">
        <v>4.1831831999999993</v>
      </c>
      <c r="D54" s="47">
        <v>2905</v>
      </c>
      <c r="E54" s="47">
        <v>3.2022349999999999</v>
      </c>
      <c r="F54" s="47">
        <v>1204</v>
      </c>
      <c r="G54" s="47">
        <v>1.7783250000000002</v>
      </c>
      <c r="H54" s="47">
        <v>1098</v>
      </c>
      <c r="I54" s="32"/>
      <c r="J54" s="46"/>
      <c r="K54" s="46"/>
      <c r="L54" s="46"/>
      <c r="M54" s="46"/>
      <c r="N54" s="39"/>
      <c r="Q54" s="35"/>
    </row>
    <row r="55" spans="1:17" hidden="1" x14ac:dyDescent="0.25">
      <c r="A55" s="47">
        <v>6.4918946999999996</v>
      </c>
      <c r="B55" s="47">
        <v>1841</v>
      </c>
      <c r="C55" s="47">
        <v>4.4606718000000001</v>
      </c>
      <c r="D55" s="47">
        <v>2289</v>
      </c>
      <c r="E55" s="47">
        <v>3.4731099999999997</v>
      </c>
      <c r="F55" s="47">
        <v>966.9</v>
      </c>
      <c r="G55" s="47">
        <v>1.8389561999999999</v>
      </c>
      <c r="H55" s="47">
        <v>884.8</v>
      </c>
      <c r="I55" s="32"/>
      <c r="J55" s="46"/>
      <c r="K55" s="46"/>
      <c r="L55" s="46"/>
      <c r="M55" s="46"/>
      <c r="N55" s="39"/>
      <c r="Q55" s="35"/>
    </row>
    <row r="56" spans="1:17" hidden="1" x14ac:dyDescent="0.25">
      <c r="A56" s="47">
        <v>6.8686199999999999</v>
      </c>
      <c r="B56" s="47">
        <v>1446</v>
      </c>
      <c r="C56" s="47">
        <v>4.6364831999999998</v>
      </c>
      <c r="D56" s="47">
        <v>2062</v>
      </c>
      <c r="E56" s="47">
        <v>3.6691250000000002</v>
      </c>
      <c r="F56" s="47">
        <v>779.8</v>
      </c>
      <c r="G56" s="47">
        <v>1.9777724999999999</v>
      </c>
      <c r="H56" s="47">
        <v>733.5</v>
      </c>
      <c r="I56" s="32"/>
      <c r="J56" s="46"/>
      <c r="K56" s="46"/>
      <c r="L56" s="46"/>
      <c r="M56" s="46"/>
      <c r="N56" s="39"/>
    </row>
    <row r="57" spans="1:17" hidden="1" x14ac:dyDescent="0.25">
      <c r="A57" s="47">
        <v>7.3471349999999997</v>
      </c>
      <c r="B57" s="47">
        <v>1263</v>
      </c>
      <c r="C57" s="47">
        <v>4.8787313999999995</v>
      </c>
      <c r="D57" s="47">
        <v>1568</v>
      </c>
      <c r="E57" s="47">
        <v>3.9422410999999995</v>
      </c>
      <c r="F57" s="47">
        <v>588.5</v>
      </c>
      <c r="G57" s="47">
        <v>2.0649962000000004</v>
      </c>
      <c r="H57" s="47">
        <v>617.79999999999995</v>
      </c>
      <c r="I57" s="32"/>
      <c r="J57" s="46"/>
      <c r="K57" s="46"/>
      <c r="L57" s="46"/>
      <c r="M57" s="46"/>
      <c r="N57" s="39"/>
    </row>
    <row r="58" spans="1:17" hidden="1" x14ac:dyDescent="0.25">
      <c r="A58" s="47">
        <v>7.9789079999999997</v>
      </c>
      <c r="B58" s="47">
        <v>850.1</v>
      </c>
      <c r="C58" s="47">
        <v>5.0785280000000004</v>
      </c>
      <c r="D58" s="47">
        <v>1367</v>
      </c>
      <c r="E58" s="47">
        <v>4.1498049999999997</v>
      </c>
      <c r="F58" s="47">
        <v>500.9</v>
      </c>
      <c r="G58" s="47">
        <v>2.1860625000000002</v>
      </c>
      <c r="H58" s="47">
        <v>504.9</v>
      </c>
      <c r="I58" s="32"/>
      <c r="J58" s="46"/>
      <c r="K58" s="46"/>
      <c r="L58" s="46"/>
      <c r="M58" s="46"/>
      <c r="N58" s="39"/>
    </row>
    <row r="59" spans="1:17" hidden="1" x14ac:dyDescent="0.25">
      <c r="A59" s="47">
        <v>8.3596010000000014</v>
      </c>
      <c r="B59" s="47">
        <v>703.1</v>
      </c>
      <c r="C59" s="47">
        <v>5.3720238</v>
      </c>
      <c r="D59" s="47">
        <v>1070</v>
      </c>
      <c r="E59" s="47">
        <v>4.4162781999999998</v>
      </c>
      <c r="F59" s="47">
        <v>395.4</v>
      </c>
      <c r="G59" s="47">
        <v>2.2579199999999999</v>
      </c>
      <c r="H59" s="47">
        <v>423.1</v>
      </c>
      <c r="I59" s="32"/>
      <c r="J59" s="46"/>
      <c r="K59" s="46"/>
      <c r="L59" s="46"/>
      <c r="M59" s="46"/>
      <c r="N59" s="39"/>
    </row>
    <row r="60" spans="1:17" hidden="1" x14ac:dyDescent="0.25">
      <c r="A60" s="47">
        <v>8.8874879999999994</v>
      </c>
      <c r="B60" s="47">
        <v>507.4</v>
      </c>
      <c r="C60" s="47">
        <v>5.5653324</v>
      </c>
      <c r="D60" s="47">
        <v>909</v>
      </c>
      <c r="E60" s="47">
        <v>4.6019199999999998</v>
      </c>
      <c r="F60" s="47">
        <v>331.9</v>
      </c>
      <c r="G60" s="47">
        <v>2.3589824999999998</v>
      </c>
      <c r="H60" s="47">
        <v>362.5</v>
      </c>
      <c r="I60" s="32"/>
      <c r="J60" s="46"/>
      <c r="K60" s="46"/>
      <c r="L60" s="46"/>
      <c r="M60" s="46"/>
      <c r="N60" s="45"/>
    </row>
    <row r="61" spans="1:17" hidden="1" x14ac:dyDescent="0.25">
      <c r="A61" s="47">
        <v>9.2375860000000003</v>
      </c>
      <c r="B61" s="47">
        <v>405.6</v>
      </c>
      <c r="C61" s="47">
        <v>5.8613802000000002</v>
      </c>
      <c r="D61" s="47">
        <v>722.5</v>
      </c>
      <c r="E61" s="47">
        <v>4.8865850000000002</v>
      </c>
      <c r="F61" s="47">
        <v>240.2</v>
      </c>
      <c r="G61" s="47">
        <v>2.4408175000000001</v>
      </c>
      <c r="H61" s="47">
        <v>302.3</v>
      </c>
      <c r="I61" s="32"/>
      <c r="J61" s="46"/>
      <c r="K61" s="46"/>
      <c r="L61" s="46"/>
      <c r="M61" s="46"/>
      <c r="N61" s="45"/>
    </row>
    <row r="62" spans="1:17" hidden="1" x14ac:dyDescent="0.25">
      <c r="A62" s="47">
        <v>9.7278599999999997</v>
      </c>
      <c r="B62" s="47">
        <v>296.2</v>
      </c>
      <c r="C62" s="47">
        <v>6.0658399999999997</v>
      </c>
      <c r="D62" s="47">
        <v>646.4</v>
      </c>
      <c r="E62" s="47">
        <v>5.0350884000000002</v>
      </c>
      <c r="F62" s="47">
        <v>191</v>
      </c>
      <c r="G62" s="47">
        <v>2.6762450000000002</v>
      </c>
      <c r="H62" s="47">
        <v>226.1</v>
      </c>
      <c r="I62" s="32"/>
      <c r="J62" s="46"/>
      <c r="K62" s="46"/>
      <c r="L62" s="46"/>
      <c r="M62" s="46"/>
      <c r="N62" s="45"/>
    </row>
    <row r="63" spans="1:17" hidden="1" x14ac:dyDescent="0.25">
      <c r="A63" s="47">
        <v>10.187050000000001</v>
      </c>
      <c r="B63" s="47">
        <v>234.5</v>
      </c>
      <c r="C63" s="47">
        <v>6.3667640999999993</v>
      </c>
      <c r="D63" s="47">
        <v>517.20000000000005</v>
      </c>
      <c r="E63" s="47">
        <v>5.3552125000000004</v>
      </c>
      <c r="F63" s="47">
        <v>141.1</v>
      </c>
      <c r="G63" s="47">
        <v>2.9654885999999996</v>
      </c>
      <c r="H63" s="47">
        <v>150</v>
      </c>
      <c r="I63" s="32"/>
      <c r="J63" s="46"/>
      <c r="K63" s="46"/>
      <c r="L63" s="46"/>
      <c r="M63" s="46"/>
      <c r="N63" s="39"/>
    </row>
    <row r="64" spans="1:17" hidden="1" x14ac:dyDescent="0.25">
      <c r="A64" s="47">
        <v>10.732150000000001</v>
      </c>
      <c r="B64" s="47">
        <v>179.5</v>
      </c>
      <c r="C64" s="47">
        <v>6.5465451999999997</v>
      </c>
      <c r="D64" s="47">
        <v>452</v>
      </c>
      <c r="E64" s="47">
        <v>5.5645625000000001</v>
      </c>
      <c r="F64" s="47">
        <v>114.7</v>
      </c>
      <c r="G64" s="47">
        <v>3.1980566999999995</v>
      </c>
      <c r="H64" s="47">
        <v>116.6</v>
      </c>
      <c r="I64" s="32"/>
      <c r="J64" s="46"/>
      <c r="K64" s="46"/>
      <c r="L64" s="46"/>
      <c r="M64" s="46"/>
      <c r="N64" s="45"/>
    </row>
    <row r="65" spans="1:14" hidden="1" x14ac:dyDescent="0.25">
      <c r="A65" s="47">
        <v>11.16005</v>
      </c>
      <c r="B65" s="47">
        <v>149.69999999999999</v>
      </c>
      <c r="C65" s="47">
        <v>6.8925948000000004</v>
      </c>
      <c r="D65" s="47">
        <v>371.1</v>
      </c>
      <c r="E65" s="47">
        <v>5.8556735999999994</v>
      </c>
      <c r="F65" s="47">
        <v>83.57</v>
      </c>
      <c r="G65" s="47">
        <v>3.4799800000000003</v>
      </c>
      <c r="H65" s="47">
        <v>81.760000000000005</v>
      </c>
      <c r="I65" s="32"/>
      <c r="J65" s="46"/>
      <c r="K65" s="46"/>
      <c r="L65" s="46"/>
      <c r="M65" s="46"/>
      <c r="N65" s="45"/>
    </row>
    <row r="66" spans="1:14" hidden="1" x14ac:dyDescent="0.25">
      <c r="A66" s="47">
        <v>11.739350000000002</v>
      </c>
      <c r="B66" s="47">
        <v>113</v>
      </c>
      <c r="C66" s="47">
        <v>6.893764</v>
      </c>
      <c r="D66" s="47">
        <v>416.9</v>
      </c>
      <c r="E66" s="47">
        <v>6.2304570999999997</v>
      </c>
      <c r="F66" s="47">
        <v>68.45</v>
      </c>
      <c r="G66" s="47">
        <v>3.6700620000000002</v>
      </c>
      <c r="H66" s="47">
        <v>65.91</v>
      </c>
      <c r="I66" s="32"/>
      <c r="J66" s="46"/>
      <c r="K66" s="46"/>
      <c r="L66" s="46"/>
      <c r="M66" s="46"/>
      <c r="N66" s="45"/>
    </row>
    <row r="67" spans="1:14" hidden="1" x14ac:dyDescent="0.25">
      <c r="A67" s="47">
        <v>12.100409000000001</v>
      </c>
      <c r="B67" s="47">
        <v>94.19</v>
      </c>
      <c r="C67" s="47">
        <v>7.2891450000000004</v>
      </c>
      <c r="D67" s="47">
        <v>317.5</v>
      </c>
      <c r="E67" s="47">
        <v>6.3407375000000004</v>
      </c>
      <c r="F67" s="47">
        <v>51.5</v>
      </c>
      <c r="G67" s="47">
        <v>3.9801527999999999</v>
      </c>
      <c r="H67" s="47">
        <v>47.85</v>
      </c>
      <c r="I67" s="32"/>
      <c r="J67" s="46"/>
      <c r="K67" s="46"/>
      <c r="L67" s="46"/>
      <c r="M67" s="46"/>
      <c r="N67" s="45"/>
    </row>
    <row r="68" spans="1:14" hidden="1" x14ac:dyDescent="0.25">
      <c r="A68" s="47">
        <v>12.70059</v>
      </c>
      <c r="B68" s="47">
        <v>72.34</v>
      </c>
      <c r="C68" s="47">
        <v>7.8638400000000006</v>
      </c>
      <c r="D68" s="47">
        <v>209.2</v>
      </c>
      <c r="E68" s="47">
        <v>6.8780928000000001</v>
      </c>
      <c r="F68" s="47">
        <v>31.81</v>
      </c>
      <c r="G68" s="47">
        <v>4.1687475000000003</v>
      </c>
      <c r="H68" s="47">
        <v>39.369999999999997</v>
      </c>
      <c r="I68" s="32"/>
      <c r="J68" s="46"/>
      <c r="K68" s="46"/>
      <c r="L68" s="46"/>
      <c r="M68" s="46"/>
      <c r="N68" s="45"/>
    </row>
    <row r="69" spans="1:14" hidden="1" x14ac:dyDescent="0.25">
      <c r="A69" s="47">
        <v>13.185559</v>
      </c>
      <c r="B69" s="47">
        <v>60.27</v>
      </c>
      <c r="C69" s="47">
        <v>8.2324910000000013</v>
      </c>
      <c r="D69" s="47">
        <v>161.6</v>
      </c>
      <c r="E69" s="47">
        <v>7.8950625000000008</v>
      </c>
      <c r="F69" s="47">
        <v>14.17</v>
      </c>
      <c r="G69" s="47">
        <v>4.4374386000000001</v>
      </c>
      <c r="H69" s="47">
        <v>30.12</v>
      </c>
      <c r="I69" s="32"/>
      <c r="J69" s="46"/>
      <c r="K69" s="46"/>
      <c r="L69" s="46"/>
      <c r="M69" s="46"/>
      <c r="N69" s="45"/>
    </row>
    <row r="70" spans="1:14" hidden="1" x14ac:dyDescent="0.25">
      <c r="A70" s="47">
        <v>13.743918000000001</v>
      </c>
      <c r="B70" s="47">
        <v>46.93</v>
      </c>
      <c r="C70" s="47">
        <v>8.7139640000000007</v>
      </c>
      <c r="D70" s="47">
        <v>108.8</v>
      </c>
      <c r="E70" s="47">
        <v>10.026432000000002</v>
      </c>
      <c r="F70" s="47">
        <v>5.9219999999999997</v>
      </c>
      <c r="G70" s="47">
        <v>4.8770609999999994</v>
      </c>
      <c r="H70" s="47">
        <v>19.690000000000001</v>
      </c>
      <c r="I70" s="32"/>
    </row>
    <row r="71" spans="1:14" hidden="1" x14ac:dyDescent="0.25">
      <c r="A71" s="47">
        <v>14.74545</v>
      </c>
      <c r="B71" s="47">
        <v>37.35</v>
      </c>
      <c r="C71" s="47">
        <v>9.1202280000000009</v>
      </c>
      <c r="D71" s="47">
        <v>84.24</v>
      </c>
      <c r="E71" s="47"/>
      <c r="F71" s="47"/>
      <c r="G71" s="47">
        <v>5.3843373999999997</v>
      </c>
      <c r="H71" s="47">
        <v>11.66</v>
      </c>
      <c r="I71" s="32"/>
    </row>
    <row r="72" spans="1:14" hidden="1" x14ac:dyDescent="0.25">
      <c r="A72" s="47">
        <v>15.708780000000001</v>
      </c>
      <c r="B72" s="47">
        <v>26.15</v>
      </c>
      <c r="C72" s="47">
        <v>9.7344299999999997</v>
      </c>
      <c r="D72" s="47">
        <v>59.31</v>
      </c>
      <c r="E72" s="47"/>
      <c r="F72" s="47"/>
      <c r="G72" s="47">
        <v>5.8052628000000004</v>
      </c>
      <c r="H72" s="47">
        <v>8.3520000000000003</v>
      </c>
      <c r="I72" s="32"/>
    </row>
    <row r="73" spans="1:14" hidden="1" x14ac:dyDescent="0.25">
      <c r="A73" s="47">
        <v>17.777279999999998</v>
      </c>
      <c r="B73" s="47">
        <v>14.53</v>
      </c>
      <c r="C73" s="47">
        <v>10.082848</v>
      </c>
      <c r="D73" s="47">
        <v>47.06</v>
      </c>
      <c r="E73" s="47"/>
      <c r="F73" s="47"/>
      <c r="G73" s="47"/>
      <c r="H73" s="47"/>
      <c r="I73" s="32"/>
    </row>
    <row r="74" spans="1:14" hidden="1" x14ac:dyDescent="0.25">
      <c r="A74" s="47">
        <v>19.778400000000001</v>
      </c>
      <c r="B74" s="47">
        <v>9.6219999999999999</v>
      </c>
      <c r="C74" s="47">
        <v>13.478809</v>
      </c>
      <c r="D74" s="47">
        <v>9.9629999999999992</v>
      </c>
      <c r="E74" s="47"/>
      <c r="F74" s="47"/>
      <c r="G74" s="47"/>
      <c r="H74" s="47"/>
      <c r="I74" s="32"/>
    </row>
    <row r="75" spans="1:14" hidden="1" x14ac:dyDescent="0.25">
      <c r="B75" s="32"/>
      <c r="C75" s="32"/>
      <c r="D75" s="32"/>
    </row>
    <row r="76" spans="1:14" hidden="1" x14ac:dyDescent="0.25">
      <c r="B76" s="32"/>
      <c r="C76" s="32"/>
      <c r="D76" s="32"/>
    </row>
    <row r="77" spans="1:14" hidden="1" x14ac:dyDescent="0.25">
      <c r="B77" s="32"/>
      <c r="C77" s="32"/>
      <c r="D77" s="32"/>
    </row>
    <row r="78" spans="1:14" hidden="1" x14ac:dyDescent="0.25">
      <c r="B78" s="32"/>
      <c r="C78" s="32"/>
      <c r="D78" s="32"/>
    </row>
    <row r="79" spans="1:14" hidden="1" x14ac:dyDescent="0.25">
      <c r="B79" s="32"/>
      <c r="C79" s="32"/>
      <c r="D79" s="32"/>
    </row>
    <row r="80" spans="1:14" x14ac:dyDescent="0.25">
      <c r="B80" s="32"/>
      <c r="C80" s="32"/>
      <c r="D80" s="32"/>
    </row>
    <row r="81" spans="2:4" x14ac:dyDescent="0.25">
      <c r="B81" s="32"/>
      <c r="C81" s="32"/>
      <c r="D81" s="32"/>
    </row>
    <row r="82" spans="2:4" x14ac:dyDescent="0.25">
      <c r="B82" s="32"/>
      <c r="C82" s="32"/>
      <c r="D82" s="32"/>
    </row>
    <row r="83" spans="2:4" x14ac:dyDescent="0.25">
      <c r="B83" s="32"/>
      <c r="C83" s="32"/>
      <c r="D83" s="32"/>
    </row>
    <row r="84" spans="2:4" x14ac:dyDescent="0.25">
      <c r="B84" s="32"/>
      <c r="C84" s="32"/>
      <c r="D84" s="32"/>
    </row>
    <row r="85" spans="2:4" x14ac:dyDescent="0.25">
      <c r="B85" s="32"/>
      <c r="C85" s="32"/>
      <c r="D85" s="32"/>
    </row>
    <row r="86" spans="2:4" x14ac:dyDescent="0.25">
      <c r="B86" s="32"/>
      <c r="C86" s="32"/>
      <c r="D86" s="32"/>
    </row>
    <row r="87" spans="2:4" x14ac:dyDescent="0.25">
      <c r="B87" s="32"/>
      <c r="C87" s="32"/>
      <c r="D87" s="32"/>
    </row>
    <row r="88" spans="2:4" x14ac:dyDescent="0.25">
      <c r="B88" s="32"/>
      <c r="C88" s="32"/>
      <c r="D88" s="32"/>
    </row>
    <row r="89" spans="2:4" x14ac:dyDescent="0.25">
      <c r="B89" s="32"/>
      <c r="C89" s="32"/>
      <c r="D89" s="32"/>
    </row>
    <row r="90" spans="2:4" x14ac:dyDescent="0.25">
      <c r="B90" s="32"/>
      <c r="C90" s="32"/>
      <c r="D90" s="32"/>
    </row>
    <row r="91" spans="2:4" x14ac:dyDescent="0.25">
      <c r="B91" s="32"/>
      <c r="C91" s="32"/>
      <c r="D91" s="32"/>
    </row>
    <row r="92" spans="2:4" x14ac:dyDescent="0.25">
      <c r="B92" s="32"/>
      <c r="C92" s="32"/>
      <c r="D92" s="32"/>
    </row>
    <row r="93" spans="2:4" x14ac:dyDescent="0.25">
      <c r="B93" s="32"/>
      <c r="C93" s="32"/>
      <c r="D93" s="32"/>
    </row>
    <row r="94" spans="2:4" x14ac:dyDescent="0.25">
      <c r="B94" s="32"/>
      <c r="C94" s="32"/>
      <c r="D94" s="32"/>
    </row>
    <row r="95" spans="2:4" x14ac:dyDescent="0.25">
      <c r="B95" s="32"/>
      <c r="C95" s="32"/>
      <c r="D95" s="32"/>
    </row>
    <row r="96" spans="2:4" x14ac:dyDescent="0.25">
      <c r="B96" s="32"/>
      <c r="C96" s="32"/>
      <c r="D96" s="32"/>
    </row>
    <row r="97" spans="1:4" x14ac:dyDescent="0.25">
      <c r="B97" s="32"/>
      <c r="C97" s="32"/>
      <c r="D97" s="32"/>
    </row>
    <row r="98" spans="1:4" x14ac:dyDescent="0.25">
      <c r="B98" s="32"/>
      <c r="C98" s="32"/>
      <c r="D98" s="32"/>
    </row>
    <row r="99" spans="1:4" x14ac:dyDescent="0.25">
      <c r="B99" s="32"/>
      <c r="C99" s="32"/>
      <c r="D99" s="32"/>
    </row>
    <row r="100" spans="1:4" x14ac:dyDescent="0.25">
      <c r="A100" s="32"/>
      <c r="B100" s="32"/>
      <c r="C100" s="32"/>
      <c r="D100" s="32"/>
    </row>
    <row r="101" spans="1:4" x14ac:dyDescent="0.25">
      <c r="A101" s="32"/>
      <c r="B101" s="32"/>
      <c r="C101" s="32"/>
      <c r="D101" s="32"/>
    </row>
  </sheetData>
  <sheetProtection password="DDFC" sheet="1" objects="1" scenarios="1"/>
  <sortState xmlns:xlrd2="http://schemas.microsoft.com/office/spreadsheetml/2017/richdata2" ref="A50:B70">
    <sortCondition ref="B50:B70"/>
  </sortState>
  <mergeCells count="8">
    <mergeCell ref="A46:B46"/>
    <mergeCell ref="C46:D46"/>
    <mergeCell ref="E46:F46"/>
    <mergeCell ref="G46:H46"/>
    <mergeCell ref="A9:B9"/>
    <mergeCell ref="C9:D9"/>
    <mergeCell ref="E9:F9"/>
    <mergeCell ref="G9:H9"/>
  </mergeCell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>
    <tabColor rgb="FF0000FF"/>
  </sheetPr>
  <dimension ref="A1:I197"/>
  <sheetViews>
    <sheetView workbookViewId="0">
      <pane ySplit="4" topLeftCell="A5" activePane="bottomLeft" state="frozen"/>
      <selection activeCell="G170" sqref="G170"/>
      <selection pane="bottomLeft" activeCell="E15" sqref="E15:E16"/>
    </sheetView>
  </sheetViews>
  <sheetFormatPr defaultRowHeight="15" x14ac:dyDescent="0.25"/>
  <cols>
    <col min="1" max="6" width="18.7109375" customWidth="1"/>
    <col min="257" max="262" width="18.7109375" customWidth="1"/>
    <col min="513" max="518" width="18.7109375" customWidth="1"/>
    <col min="769" max="774" width="18.7109375" customWidth="1"/>
    <col min="1025" max="1030" width="18.7109375" customWidth="1"/>
    <col min="1281" max="1286" width="18.7109375" customWidth="1"/>
    <col min="1537" max="1542" width="18.7109375" customWidth="1"/>
    <col min="1793" max="1798" width="18.7109375" customWidth="1"/>
    <col min="2049" max="2054" width="18.7109375" customWidth="1"/>
    <col min="2305" max="2310" width="18.7109375" customWidth="1"/>
    <col min="2561" max="2566" width="18.7109375" customWidth="1"/>
    <col min="2817" max="2822" width="18.7109375" customWidth="1"/>
    <col min="3073" max="3078" width="18.7109375" customWidth="1"/>
    <col min="3329" max="3334" width="18.7109375" customWidth="1"/>
    <col min="3585" max="3590" width="18.7109375" customWidth="1"/>
    <col min="3841" max="3846" width="18.7109375" customWidth="1"/>
    <col min="4097" max="4102" width="18.7109375" customWidth="1"/>
    <col min="4353" max="4358" width="18.7109375" customWidth="1"/>
    <col min="4609" max="4614" width="18.7109375" customWidth="1"/>
    <col min="4865" max="4870" width="18.7109375" customWidth="1"/>
    <col min="5121" max="5126" width="18.7109375" customWidth="1"/>
    <col min="5377" max="5382" width="18.7109375" customWidth="1"/>
    <col min="5633" max="5638" width="18.7109375" customWidth="1"/>
    <col min="5889" max="5894" width="18.7109375" customWidth="1"/>
    <col min="6145" max="6150" width="18.7109375" customWidth="1"/>
    <col min="6401" max="6406" width="18.7109375" customWidth="1"/>
    <col min="6657" max="6662" width="18.7109375" customWidth="1"/>
    <col min="6913" max="6918" width="18.7109375" customWidth="1"/>
    <col min="7169" max="7174" width="18.7109375" customWidth="1"/>
    <col min="7425" max="7430" width="18.7109375" customWidth="1"/>
    <col min="7681" max="7686" width="18.7109375" customWidth="1"/>
    <col min="7937" max="7942" width="18.7109375" customWidth="1"/>
    <col min="8193" max="8198" width="18.7109375" customWidth="1"/>
    <col min="8449" max="8454" width="18.7109375" customWidth="1"/>
    <col min="8705" max="8710" width="18.7109375" customWidth="1"/>
    <col min="8961" max="8966" width="18.7109375" customWidth="1"/>
    <col min="9217" max="9222" width="18.7109375" customWidth="1"/>
    <col min="9473" max="9478" width="18.7109375" customWidth="1"/>
    <col min="9729" max="9734" width="18.7109375" customWidth="1"/>
    <col min="9985" max="9990" width="18.7109375" customWidth="1"/>
    <col min="10241" max="10246" width="18.7109375" customWidth="1"/>
    <col min="10497" max="10502" width="18.7109375" customWidth="1"/>
    <col min="10753" max="10758" width="18.7109375" customWidth="1"/>
    <col min="11009" max="11014" width="18.7109375" customWidth="1"/>
    <col min="11265" max="11270" width="18.7109375" customWidth="1"/>
    <col min="11521" max="11526" width="18.7109375" customWidth="1"/>
    <col min="11777" max="11782" width="18.7109375" customWidth="1"/>
    <col min="12033" max="12038" width="18.7109375" customWidth="1"/>
    <col min="12289" max="12294" width="18.7109375" customWidth="1"/>
    <col min="12545" max="12550" width="18.7109375" customWidth="1"/>
    <col min="12801" max="12806" width="18.7109375" customWidth="1"/>
    <col min="13057" max="13062" width="18.7109375" customWidth="1"/>
    <col min="13313" max="13318" width="18.7109375" customWidth="1"/>
    <col min="13569" max="13574" width="18.7109375" customWidth="1"/>
    <col min="13825" max="13830" width="18.7109375" customWidth="1"/>
    <col min="14081" max="14086" width="18.7109375" customWidth="1"/>
    <col min="14337" max="14342" width="18.7109375" customWidth="1"/>
    <col min="14593" max="14598" width="18.7109375" customWidth="1"/>
    <col min="14849" max="14854" width="18.7109375" customWidth="1"/>
    <col min="15105" max="15110" width="18.7109375" customWidth="1"/>
    <col min="15361" max="15366" width="18.7109375" customWidth="1"/>
    <col min="15617" max="15622" width="18.7109375" customWidth="1"/>
    <col min="15873" max="15878" width="18.7109375" customWidth="1"/>
    <col min="16129" max="16134" width="18.7109375" customWidth="1"/>
  </cols>
  <sheetData>
    <row r="1" spans="1:9" ht="21" x14ac:dyDescent="0.35">
      <c r="A1" s="250" t="s">
        <v>64</v>
      </c>
      <c r="B1" s="250"/>
      <c r="C1" s="250"/>
      <c r="D1" s="250"/>
      <c r="E1" s="250"/>
      <c r="F1" s="250"/>
    </row>
    <row r="3" spans="1:9" x14ac:dyDescent="0.25">
      <c r="A3" s="2">
        <v>0.2</v>
      </c>
      <c r="B3" s="2">
        <v>0.1</v>
      </c>
      <c r="C3" s="2">
        <v>0.05</v>
      </c>
      <c r="D3" s="2">
        <v>0.02</v>
      </c>
      <c r="E3" s="2">
        <v>0.01</v>
      </c>
      <c r="F3" s="3" t="s">
        <v>65</v>
      </c>
    </row>
    <row r="4" spans="1:9" x14ac:dyDescent="0.25">
      <c r="A4" s="4" t="s">
        <v>66</v>
      </c>
      <c r="B4" s="4" t="s">
        <v>67</v>
      </c>
      <c r="C4" s="4" t="s">
        <v>68</v>
      </c>
      <c r="D4" s="4" t="s">
        <v>69</v>
      </c>
      <c r="E4" s="4" t="s">
        <v>70</v>
      </c>
      <c r="F4" s="4" t="s">
        <v>71</v>
      </c>
    </row>
    <row r="5" spans="1:9" x14ac:dyDescent="0.25">
      <c r="A5" s="249">
        <v>100</v>
      </c>
      <c r="B5" s="247">
        <v>100</v>
      </c>
      <c r="C5" s="248">
        <v>100</v>
      </c>
      <c r="D5" s="246">
        <v>100</v>
      </c>
      <c r="E5" s="245">
        <v>100</v>
      </c>
      <c r="F5" s="5">
        <v>100</v>
      </c>
    </row>
    <row r="6" spans="1:9" x14ac:dyDescent="0.25">
      <c r="A6" s="249"/>
      <c r="B6" s="247"/>
      <c r="C6" s="248"/>
      <c r="D6" s="246"/>
      <c r="E6" s="245"/>
      <c r="F6" s="5">
        <v>101</v>
      </c>
    </row>
    <row r="7" spans="1:9" x14ac:dyDescent="0.25">
      <c r="A7" s="249"/>
      <c r="B7" s="247"/>
      <c r="C7" s="248"/>
      <c r="D7" s="246"/>
      <c r="E7" s="245">
        <v>102</v>
      </c>
      <c r="F7" s="5">
        <v>102</v>
      </c>
    </row>
    <row r="8" spans="1:9" x14ac:dyDescent="0.25">
      <c r="A8" s="249"/>
      <c r="B8" s="247"/>
      <c r="C8" s="248"/>
      <c r="D8" s="246"/>
      <c r="E8" s="245"/>
      <c r="F8" s="5">
        <v>104</v>
      </c>
    </row>
    <row r="9" spans="1:9" x14ac:dyDescent="0.25">
      <c r="A9" s="249"/>
      <c r="B9" s="247"/>
      <c r="C9" s="248"/>
      <c r="D9" s="246">
        <v>105</v>
      </c>
      <c r="E9" s="245">
        <v>105</v>
      </c>
      <c r="F9" s="5">
        <v>105</v>
      </c>
    </row>
    <row r="10" spans="1:9" x14ac:dyDescent="0.25">
      <c r="A10" s="249"/>
      <c r="B10" s="247"/>
      <c r="C10" s="248"/>
      <c r="D10" s="246"/>
      <c r="E10" s="245"/>
      <c r="F10" s="5">
        <v>106</v>
      </c>
      <c r="I10" s="1"/>
    </row>
    <row r="11" spans="1:9" x14ac:dyDescent="0.25">
      <c r="A11" s="249"/>
      <c r="B11" s="247"/>
      <c r="C11" s="248"/>
      <c r="D11" s="246"/>
      <c r="E11" s="245">
        <v>107</v>
      </c>
      <c r="F11" s="5">
        <v>107</v>
      </c>
    </row>
    <row r="12" spans="1:9" x14ac:dyDescent="0.25">
      <c r="A12" s="249"/>
      <c r="B12" s="247"/>
      <c r="C12" s="248"/>
      <c r="D12" s="246"/>
      <c r="E12" s="245"/>
      <c r="F12" s="5">
        <v>109</v>
      </c>
    </row>
    <row r="13" spans="1:9" x14ac:dyDescent="0.25">
      <c r="A13" s="249"/>
      <c r="B13" s="247"/>
      <c r="C13" s="248">
        <v>110</v>
      </c>
      <c r="D13" s="246">
        <v>110</v>
      </c>
      <c r="E13" s="245">
        <v>110</v>
      </c>
      <c r="F13" s="5">
        <v>110</v>
      </c>
    </row>
    <row r="14" spans="1:9" x14ac:dyDescent="0.25">
      <c r="A14" s="249"/>
      <c r="B14" s="247"/>
      <c r="C14" s="248"/>
      <c r="D14" s="246"/>
      <c r="E14" s="245"/>
      <c r="F14" s="5">
        <v>111</v>
      </c>
    </row>
    <row r="15" spans="1:9" x14ac:dyDescent="0.25">
      <c r="A15" s="249"/>
      <c r="B15" s="247"/>
      <c r="C15" s="248"/>
      <c r="D15" s="246"/>
      <c r="E15" s="245">
        <v>113</v>
      </c>
      <c r="F15" s="5">
        <v>113</v>
      </c>
    </row>
    <row r="16" spans="1:9" x14ac:dyDescent="0.25">
      <c r="A16" s="249"/>
      <c r="B16" s="247"/>
      <c r="C16" s="248"/>
      <c r="D16" s="246"/>
      <c r="E16" s="245"/>
      <c r="F16" s="5">
        <v>114</v>
      </c>
    </row>
    <row r="17" spans="1:6" x14ac:dyDescent="0.25">
      <c r="A17" s="249"/>
      <c r="B17" s="247"/>
      <c r="C17" s="248"/>
      <c r="D17" s="246">
        <v>115</v>
      </c>
      <c r="E17" s="245">
        <v>115</v>
      </c>
      <c r="F17" s="5">
        <v>115</v>
      </c>
    </row>
    <row r="18" spans="1:6" x14ac:dyDescent="0.25">
      <c r="A18" s="249"/>
      <c r="B18" s="247"/>
      <c r="C18" s="248"/>
      <c r="D18" s="246"/>
      <c r="E18" s="245"/>
      <c r="F18" s="5">
        <v>117</v>
      </c>
    </row>
    <row r="19" spans="1:6" x14ac:dyDescent="0.25">
      <c r="A19" s="249"/>
      <c r="B19" s="247"/>
      <c r="C19" s="248"/>
      <c r="D19" s="246"/>
      <c r="E19" s="245">
        <v>118</v>
      </c>
      <c r="F19" s="5">
        <v>118</v>
      </c>
    </row>
    <row r="20" spans="1:6" x14ac:dyDescent="0.25">
      <c r="A20" s="249"/>
      <c r="B20" s="247"/>
      <c r="C20" s="248"/>
      <c r="D20" s="246"/>
      <c r="E20" s="245"/>
      <c r="F20" s="5">
        <v>120</v>
      </c>
    </row>
    <row r="21" spans="1:6" x14ac:dyDescent="0.25">
      <c r="A21" s="249"/>
      <c r="B21" s="247">
        <v>120</v>
      </c>
      <c r="C21" s="248">
        <v>120</v>
      </c>
      <c r="D21" s="246">
        <v>121</v>
      </c>
      <c r="E21" s="245">
        <v>121</v>
      </c>
      <c r="F21" s="5">
        <v>121</v>
      </c>
    </row>
    <row r="22" spans="1:6" x14ac:dyDescent="0.25">
      <c r="A22" s="249"/>
      <c r="B22" s="247"/>
      <c r="C22" s="248"/>
      <c r="D22" s="246"/>
      <c r="E22" s="245"/>
      <c r="F22" s="5">
        <v>123</v>
      </c>
    </row>
    <row r="23" spans="1:6" x14ac:dyDescent="0.25">
      <c r="A23" s="249"/>
      <c r="B23" s="247"/>
      <c r="C23" s="248"/>
      <c r="D23" s="246"/>
      <c r="E23" s="245">
        <v>124</v>
      </c>
      <c r="F23" s="5">
        <v>124</v>
      </c>
    </row>
    <row r="24" spans="1:6" x14ac:dyDescent="0.25">
      <c r="A24" s="249"/>
      <c r="B24" s="247"/>
      <c r="C24" s="248"/>
      <c r="D24" s="246"/>
      <c r="E24" s="245"/>
      <c r="F24" s="5">
        <v>126</v>
      </c>
    </row>
    <row r="25" spans="1:6" x14ac:dyDescent="0.25">
      <c r="A25" s="249"/>
      <c r="B25" s="247"/>
      <c r="C25" s="248"/>
      <c r="D25" s="246">
        <v>127</v>
      </c>
      <c r="E25" s="245">
        <v>127</v>
      </c>
      <c r="F25" s="5">
        <v>127</v>
      </c>
    </row>
    <row r="26" spans="1:6" x14ac:dyDescent="0.25">
      <c r="A26" s="249"/>
      <c r="B26" s="247"/>
      <c r="C26" s="248"/>
      <c r="D26" s="246"/>
      <c r="E26" s="245"/>
      <c r="F26" s="5">
        <v>129</v>
      </c>
    </row>
    <row r="27" spans="1:6" x14ac:dyDescent="0.25">
      <c r="A27" s="249"/>
      <c r="B27" s="247"/>
      <c r="C27" s="248"/>
      <c r="D27" s="246"/>
      <c r="E27" s="245">
        <v>130</v>
      </c>
      <c r="F27" s="5">
        <v>130</v>
      </c>
    </row>
    <row r="28" spans="1:6" x14ac:dyDescent="0.25">
      <c r="A28" s="249"/>
      <c r="B28" s="247"/>
      <c r="C28" s="248"/>
      <c r="D28" s="246"/>
      <c r="E28" s="245"/>
      <c r="F28" s="5">
        <v>132</v>
      </c>
    </row>
    <row r="29" spans="1:6" x14ac:dyDescent="0.25">
      <c r="A29" s="249"/>
      <c r="B29" s="247"/>
      <c r="C29" s="248">
        <v>130</v>
      </c>
      <c r="D29" s="246">
        <v>133</v>
      </c>
      <c r="E29" s="245">
        <v>133</v>
      </c>
      <c r="F29" s="5">
        <v>133</v>
      </c>
    </row>
    <row r="30" spans="1:6" x14ac:dyDescent="0.25">
      <c r="A30" s="249"/>
      <c r="B30" s="247"/>
      <c r="C30" s="248"/>
      <c r="D30" s="246"/>
      <c r="E30" s="245"/>
      <c r="F30" s="5">
        <v>135</v>
      </c>
    </row>
    <row r="31" spans="1:6" x14ac:dyDescent="0.25">
      <c r="A31" s="249"/>
      <c r="B31" s="247"/>
      <c r="C31" s="248"/>
      <c r="D31" s="246"/>
      <c r="E31" s="245">
        <v>137</v>
      </c>
      <c r="F31" s="5">
        <v>137</v>
      </c>
    </row>
    <row r="32" spans="1:6" x14ac:dyDescent="0.25">
      <c r="A32" s="249"/>
      <c r="B32" s="247"/>
      <c r="C32" s="248"/>
      <c r="D32" s="246"/>
      <c r="E32" s="245"/>
      <c r="F32" s="5">
        <v>138</v>
      </c>
    </row>
    <row r="33" spans="1:6" x14ac:dyDescent="0.25">
      <c r="A33" s="249"/>
      <c r="B33" s="247"/>
      <c r="C33" s="248"/>
      <c r="D33" s="246">
        <v>140</v>
      </c>
      <c r="E33" s="245">
        <v>140</v>
      </c>
      <c r="F33" s="5">
        <v>140</v>
      </c>
    </row>
    <row r="34" spans="1:6" x14ac:dyDescent="0.25">
      <c r="A34" s="249"/>
      <c r="B34" s="247"/>
      <c r="C34" s="248"/>
      <c r="D34" s="246"/>
      <c r="E34" s="245"/>
      <c r="F34" s="5">
        <v>142</v>
      </c>
    </row>
    <row r="35" spans="1:6" x14ac:dyDescent="0.25">
      <c r="A35" s="249"/>
      <c r="B35" s="247"/>
      <c r="C35" s="248"/>
      <c r="D35" s="246"/>
      <c r="E35" s="245">
        <v>143</v>
      </c>
      <c r="F35" s="5">
        <v>143</v>
      </c>
    </row>
    <row r="36" spans="1:6" x14ac:dyDescent="0.25">
      <c r="A36" s="249"/>
      <c r="B36" s="247"/>
      <c r="C36" s="248"/>
      <c r="D36" s="246"/>
      <c r="E36" s="245"/>
      <c r="F36" s="5">
        <v>145</v>
      </c>
    </row>
    <row r="37" spans="1:6" x14ac:dyDescent="0.25">
      <c r="A37" s="249">
        <v>150</v>
      </c>
      <c r="B37" s="247">
        <v>150</v>
      </c>
      <c r="C37" s="248">
        <v>150</v>
      </c>
      <c r="D37" s="246">
        <v>147</v>
      </c>
      <c r="E37" s="245">
        <v>147</v>
      </c>
      <c r="F37" s="5">
        <v>147</v>
      </c>
    </row>
    <row r="38" spans="1:6" x14ac:dyDescent="0.25">
      <c r="A38" s="249"/>
      <c r="B38" s="247"/>
      <c r="C38" s="248"/>
      <c r="D38" s="246"/>
      <c r="E38" s="245"/>
      <c r="F38" s="5">
        <v>149</v>
      </c>
    </row>
    <row r="39" spans="1:6" x14ac:dyDescent="0.25">
      <c r="A39" s="249"/>
      <c r="B39" s="247"/>
      <c r="C39" s="248"/>
      <c r="D39" s="246"/>
      <c r="E39" s="245">
        <v>150</v>
      </c>
      <c r="F39" s="5">
        <v>150</v>
      </c>
    </row>
    <row r="40" spans="1:6" x14ac:dyDescent="0.25">
      <c r="A40" s="249"/>
      <c r="B40" s="247"/>
      <c r="C40" s="248"/>
      <c r="D40" s="246"/>
      <c r="E40" s="245"/>
      <c r="F40" s="5">
        <v>152</v>
      </c>
    </row>
    <row r="41" spans="1:6" x14ac:dyDescent="0.25">
      <c r="A41" s="249"/>
      <c r="B41" s="247"/>
      <c r="C41" s="248"/>
      <c r="D41" s="246">
        <v>154</v>
      </c>
      <c r="E41" s="245">
        <v>154</v>
      </c>
      <c r="F41" s="5">
        <v>154</v>
      </c>
    </row>
    <row r="42" spans="1:6" x14ac:dyDescent="0.25">
      <c r="A42" s="249"/>
      <c r="B42" s="247"/>
      <c r="C42" s="248"/>
      <c r="D42" s="246"/>
      <c r="E42" s="245"/>
      <c r="F42" s="5">
        <v>156</v>
      </c>
    </row>
    <row r="43" spans="1:6" x14ac:dyDescent="0.25">
      <c r="A43" s="249"/>
      <c r="B43" s="247"/>
      <c r="C43" s="248"/>
      <c r="D43" s="246"/>
      <c r="E43" s="245">
        <v>158</v>
      </c>
      <c r="F43" s="5">
        <v>158</v>
      </c>
    </row>
    <row r="44" spans="1:6" x14ac:dyDescent="0.25">
      <c r="A44" s="249"/>
      <c r="B44" s="247"/>
      <c r="C44" s="248"/>
      <c r="D44" s="246"/>
      <c r="E44" s="245"/>
      <c r="F44" s="5">
        <v>160</v>
      </c>
    </row>
    <row r="45" spans="1:6" x14ac:dyDescent="0.25">
      <c r="A45" s="249"/>
      <c r="B45" s="247"/>
      <c r="C45" s="248">
        <v>160</v>
      </c>
      <c r="D45" s="246">
        <v>162</v>
      </c>
      <c r="E45" s="245">
        <v>162</v>
      </c>
      <c r="F45" s="5">
        <v>162</v>
      </c>
    </row>
    <row r="46" spans="1:6" x14ac:dyDescent="0.25">
      <c r="A46" s="249"/>
      <c r="B46" s="247"/>
      <c r="C46" s="248"/>
      <c r="D46" s="246"/>
      <c r="E46" s="245"/>
      <c r="F46" s="5">
        <v>164</v>
      </c>
    </row>
    <row r="47" spans="1:6" x14ac:dyDescent="0.25">
      <c r="A47" s="249"/>
      <c r="B47" s="247"/>
      <c r="C47" s="248"/>
      <c r="D47" s="246"/>
      <c r="E47" s="245">
        <v>165</v>
      </c>
      <c r="F47" s="5">
        <v>165</v>
      </c>
    </row>
    <row r="48" spans="1:6" x14ac:dyDescent="0.25">
      <c r="A48" s="249"/>
      <c r="B48" s="247"/>
      <c r="C48" s="248"/>
      <c r="D48" s="246"/>
      <c r="E48" s="245"/>
      <c r="F48" s="5">
        <v>167</v>
      </c>
    </row>
    <row r="49" spans="1:6" x14ac:dyDescent="0.25">
      <c r="A49" s="249"/>
      <c r="B49" s="247"/>
      <c r="C49" s="248"/>
      <c r="D49" s="246">
        <v>169</v>
      </c>
      <c r="E49" s="245">
        <v>169</v>
      </c>
      <c r="F49" s="5">
        <v>169</v>
      </c>
    </row>
    <row r="50" spans="1:6" x14ac:dyDescent="0.25">
      <c r="A50" s="249"/>
      <c r="B50" s="247"/>
      <c r="C50" s="248"/>
      <c r="D50" s="246"/>
      <c r="E50" s="245"/>
      <c r="F50" s="5">
        <v>172</v>
      </c>
    </row>
    <row r="51" spans="1:6" x14ac:dyDescent="0.25">
      <c r="A51" s="249"/>
      <c r="B51" s="247"/>
      <c r="C51" s="248"/>
      <c r="D51" s="246"/>
      <c r="E51" s="245">
        <v>174</v>
      </c>
      <c r="F51" s="5">
        <v>174</v>
      </c>
    </row>
    <row r="52" spans="1:6" x14ac:dyDescent="0.25">
      <c r="A52" s="249"/>
      <c r="B52" s="247"/>
      <c r="C52" s="248"/>
      <c r="D52" s="246"/>
      <c r="E52" s="245"/>
      <c r="F52" s="5">
        <v>176</v>
      </c>
    </row>
    <row r="53" spans="1:6" x14ac:dyDescent="0.25">
      <c r="A53" s="249"/>
      <c r="B53" s="247">
        <v>180</v>
      </c>
      <c r="C53" s="248">
        <v>180</v>
      </c>
      <c r="D53" s="246">
        <v>178</v>
      </c>
      <c r="E53" s="245">
        <v>178</v>
      </c>
      <c r="F53" s="5">
        <v>178</v>
      </c>
    </row>
    <row r="54" spans="1:6" x14ac:dyDescent="0.25">
      <c r="A54" s="249"/>
      <c r="B54" s="247"/>
      <c r="C54" s="248"/>
      <c r="D54" s="246"/>
      <c r="E54" s="245"/>
      <c r="F54" s="5">
        <v>180</v>
      </c>
    </row>
    <row r="55" spans="1:6" x14ac:dyDescent="0.25">
      <c r="A55" s="249"/>
      <c r="B55" s="247"/>
      <c r="C55" s="248"/>
      <c r="D55" s="246"/>
      <c r="E55" s="245">
        <v>182</v>
      </c>
      <c r="F55" s="5">
        <v>182</v>
      </c>
    </row>
    <row r="56" spans="1:6" x14ac:dyDescent="0.25">
      <c r="A56" s="249"/>
      <c r="B56" s="247"/>
      <c r="C56" s="248"/>
      <c r="D56" s="246"/>
      <c r="E56" s="245"/>
      <c r="F56" s="5">
        <v>184</v>
      </c>
    </row>
    <row r="57" spans="1:6" x14ac:dyDescent="0.25">
      <c r="A57" s="249"/>
      <c r="B57" s="247"/>
      <c r="C57" s="248"/>
      <c r="D57" s="246">
        <v>187</v>
      </c>
      <c r="E57" s="245">
        <v>187</v>
      </c>
      <c r="F57" s="5">
        <v>187</v>
      </c>
    </row>
    <row r="58" spans="1:6" x14ac:dyDescent="0.25">
      <c r="A58" s="249"/>
      <c r="B58" s="247"/>
      <c r="C58" s="248"/>
      <c r="D58" s="246"/>
      <c r="E58" s="245"/>
      <c r="F58" s="5">
        <v>189</v>
      </c>
    </row>
    <row r="59" spans="1:6" x14ac:dyDescent="0.25">
      <c r="A59" s="249"/>
      <c r="B59" s="247"/>
      <c r="C59" s="248"/>
      <c r="D59" s="246"/>
      <c r="E59" s="245">
        <v>191</v>
      </c>
      <c r="F59" s="5">
        <v>191</v>
      </c>
    </row>
    <row r="60" spans="1:6" x14ac:dyDescent="0.25">
      <c r="A60" s="249"/>
      <c r="B60" s="247"/>
      <c r="C60" s="248"/>
      <c r="D60" s="246"/>
      <c r="E60" s="245"/>
      <c r="F60" s="5">
        <v>193</v>
      </c>
    </row>
    <row r="61" spans="1:6" x14ac:dyDescent="0.25">
      <c r="A61" s="249"/>
      <c r="B61" s="247"/>
      <c r="C61" s="248">
        <v>200</v>
      </c>
      <c r="D61" s="246">
        <v>196</v>
      </c>
      <c r="E61" s="245">
        <v>196</v>
      </c>
      <c r="F61" s="5">
        <v>196</v>
      </c>
    </row>
    <row r="62" spans="1:6" x14ac:dyDescent="0.25">
      <c r="A62" s="249"/>
      <c r="B62" s="247"/>
      <c r="C62" s="248"/>
      <c r="D62" s="246"/>
      <c r="E62" s="245"/>
      <c r="F62" s="5">
        <v>198</v>
      </c>
    </row>
    <row r="63" spans="1:6" x14ac:dyDescent="0.25">
      <c r="A63" s="249"/>
      <c r="B63" s="247"/>
      <c r="C63" s="248"/>
      <c r="D63" s="246"/>
      <c r="E63" s="245">
        <v>200</v>
      </c>
      <c r="F63" s="5">
        <v>200</v>
      </c>
    </row>
    <row r="64" spans="1:6" x14ac:dyDescent="0.25">
      <c r="A64" s="249"/>
      <c r="B64" s="247"/>
      <c r="C64" s="248"/>
      <c r="D64" s="246"/>
      <c r="E64" s="245"/>
      <c r="F64" s="5">
        <v>203</v>
      </c>
    </row>
    <row r="65" spans="1:6" x14ac:dyDescent="0.25">
      <c r="A65" s="249"/>
      <c r="B65" s="247"/>
      <c r="C65" s="248"/>
      <c r="D65" s="246">
        <v>205</v>
      </c>
      <c r="E65" s="245">
        <v>205</v>
      </c>
      <c r="F65" s="5">
        <v>205</v>
      </c>
    </row>
    <row r="66" spans="1:6" x14ac:dyDescent="0.25">
      <c r="A66" s="249"/>
      <c r="B66" s="247"/>
      <c r="C66" s="248"/>
      <c r="D66" s="246"/>
      <c r="E66" s="245"/>
      <c r="F66" s="5">
        <v>208</v>
      </c>
    </row>
    <row r="67" spans="1:6" x14ac:dyDescent="0.25">
      <c r="A67" s="249"/>
      <c r="B67" s="247"/>
      <c r="C67" s="248"/>
      <c r="D67" s="246"/>
      <c r="E67" s="245">
        <v>210</v>
      </c>
      <c r="F67" s="5">
        <v>210</v>
      </c>
    </row>
    <row r="68" spans="1:6" x14ac:dyDescent="0.25">
      <c r="A68" s="249"/>
      <c r="B68" s="247"/>
      <c r="C68" s="248"/>
      <c r="D68" s="246"/>
      <c r="E68" s="245"/>
      <c r="F68" s="5">
        <v>213</v>
      </c>
    </row>
    <row r="69" spans="1:6" x14ac:dyDescent="0.25">
      <c r="A69" s="249">
        <v>220</v>
      </c>
      <c r="B69" s="247">
        <v>220</v>
      </c>
      <c r="C69" s="248">
        <v>220</v>
      </c>
      <c r="D69" s="246">
        <v>215</v>
      </c>
      <c r="E69" s="245">
        <v>215</v>
      </c>
      <c r="F69" s="5">
        <v>215</v>
      </c>
    </row>
    <row r="70" spans="1:6" x14ac:dyDescent="0.25">
      <c r="A70" s="249"/>
      <c r="B70" s="247"/>
      <c r="C70" s="248"/>
      <c r="D70" s="246"/>
      <c r="E70" s="245"/>
      <c r="F70" s="5">
        <v>218</v>
      </c>
    </row>
    <row r="71" spans="1:6" x14ac:dyDescent="0.25">
      <c r="A71" s="249"/>
      <c r="B71" s="247"/>
      <c r="C71" s="248"/>
      <c r="D71" s="246"/>
      <c r="E71" s="245">
        <v>221</v>
      </c>
      <c r="F71" s="5">
        <v>221</v>
      </c>
    </row>
    <row r="72" spans="1:6" x14ac:dyDescent="0.25">
      <c r="A72" s="249"/>
      <c r="B72" s="247"/>
      <c r="C72" s="248"/>
      <c r="D72" s="246"/>
      <c r="E72" s="245"/>
      <c r="F72" s="5">
        <v>223</v>
      </c>
    </row>
    <row r="73" spans="1:6" x14ac:dyDescent="0.25">
      <c r="A73" s="249"/>
      <c r="B73" s="247"/>
      <c r="C73" s="248"/>
      <c r="D73" s="246">
        <v>226</v>
      </c>
      <c r="E73" s="245">
        <v>226</v>
      </c>
      <c r="F73" s="5">
        <v>226</v>
      </c>
    </row>
    <row r="74" spans="1:6" x14ac:dyDescent="0.25">
      <c r="A74" s="249"/>
      <c r="B74" s="247"/>
      <c r="C74" s="248"/>
      <c r="D74" s="246"/>
      <c r="E74" s="245"/>
      <c r="F74" s="5">
        <v>229</v>
      </c>
    </row>
    <row r="75" spans="1:6" x14ac:dyDescent="0.25">
      <c r="A75" s="249"/>
      <c r="B75" s="247"/>
      <c r="C75" s="248"/>
      <c r="D75" s="246"/>
      <c r="E75" s="245">
        <v>232</v>
      </c>
      <c r="F75" s="5">
        <v>232</v>
      </c>
    </row>
    <row r="76" spans="1:6" x14ac:dyDescent="0.25">
      <c r="A76" s="249"/>
      <c r="B76" s="247"/>
      <c r="C76" s="248"/>
      <c r="D76" s="246"/>
      <c r="E76" s="245"/>
      <c r="F76" s="5">
        <v>234</v>
      </c>
    </row>
    <row r="77" spans="1:6" x14ac:dyDescent="0.25">
      <c r="A77" s="249"/>
      <c r="B77" s="247"/>
      <c r="C77" s="248">
        <v>240</v>
      </c>
      <c r="D77" s="246">
        <v>237</v>
      </c>
      <c r="E77" s="245">
        <v>237</v>
      </c>
      <c r="F77" s="5">
        <v>237</v>
      </c>
    </row>
    <row r="78" spans="1:6" x14ac:dyDescent="0.25">
      <c r="A78" s="249"/>
      <c r="B78" s="247"/>
      <c r="C78" s="248"/>
      <c r="D78" s="246"/>
      <c r="E78" s="245"/>
      <c r="F78" s="5">
        <v>240</v>
      </c>
    </row>
    <row r="79" spans="1:6" x14ac:dyDescent="0.25">
      <c r="A79" s="249"/>
      <c r="B79" s="247"/>
      <c r="C79" s="248"/>
      <c r="D79" s="246"/>
      <c r="E79" s="245">
        <v>243</v>
      </c>
      <c r="F79" s="5">
        <v>243</v>
      </c>
    </row>
    <row r="80" spans="1:6" x14ac:dyDescent="0.25">
      <c r="A80" s="249"/>
      <c r="B80" s="247"/>
      <c r="C80" s="248"/>
      <c r="D80" s="246"/>
      <c r="E80" s="245"/>
      <c r="F80" s="5">
        <v>246</v>
      </c>
    </row>
    <row r="81" spans="1:6" x14ac:dyDescent="0.25">
      <c r="A81" s="249"/>
      <c r="B81" s="247"/>
      <c r="C81" s="248"/>
      <c r="D81" s="246">
        <v>249</v>
      </c>
      <c r="E81" s="245">
        <v>249</v>
      </c>
      <c r="F81" s="5">
        <v>249</v>
      </c>
    </row>
    <row r="82" spans="1:6" x14ac:dyDescent="0.25">
      <c r="A82" s="249"/>
      <c r="B82" s="247"/>
      <c r="C82" s="248"/>
      <c r="D82" s="246"/>
      <c r="E82" s="245"/>
      <c r="F82" s="5">
        <v>252</v>
      </c>
    </row>
    <row r="83" spans="1:6" x14ac:dyDescent="0.25">
      <c r="A83" s="249"/>
      <c r="B83" s="247"/>
      <c r="C83" s="248"/>
      <c r="D83" s="246"/>
      <c r="E83" s="245">
        <v>255</v>
      </c>
      <c r="F83" s="5">
        <v>255</v>
      </c>
    </row>
    <row r="84" spans="1:6" x14ac:dyDescent="0.25">
      <c r="A84" s="249"/>
      <c r="B84" s="247"/>
      <c r="C84" s="248"/>
      <c r="D84" s="246"/>
      <c r="E84" s="245"/>
      <c r="F84" s="5">
        <v>258</v>
      </c>
    </row>
    <row r="85" spans="1:6" x14ac:dyDescent="0.25">
      <c r="A85" s="249"/>
      <c r="B85" s="247">
        <v>270</v>
      </c>
      <c r="C85" s="248">
        <v>270</v>
      </c>
      <c r="D85" s="246">
        <v>261</v>
      </c>
      <c r="E85" s="245">
        <v>261</v>
      </c>
      <c r="F85" s="5">
        <v>261</v>
      </c>
    </row>
    <row r="86" spans="1:6" x14ac:dyDescent="0.25">
      <c r="A86" s="249"/>
      <c r="B86" s="247"/>
      <c r="C86" s="248"/>
      <c r="D86" s="246"/>
      <c r="E86" s="245"/>
      <c r="F86" s="5">
        <v>264</v>
      </c>
    </row>
    <row r="87" spans="1:6" x14ac:dyDescent="0.25">
      <c r="A87" s="249"/>
      <c r="B87" s="247"/>
      <c r="C87" s="248"/>
      <c r="D87" s="246"/>
      <c r="E87" s="245">
        <v>267</v>
      </c>
      <c r="F87" s="5">
        <v>267</v>
      </c>
    </row>
    <row r="88" spans="1:6" x14ac:dyDescent="0.25">
      <c r="A88" s="249"/>
      <c r="B88" s="247"/>
      <c r="C88" s="248"/>
      <c r="D88" s="246"/>
      <c r="E88" s="245"/>
      <c r="F88" s="5">
        <v>271</v>
      </c>
    </row>
    <row r="89" spans="1:6" x14ac:dyDescent="0.25">
      <c r="A89" s="249"/>
      <c r="B89" s="247"/>
      <c r="C89" s="248"/>
      <c r="D89" s="246">
        <v>274</v>
      </c>
      <c r="E89" s="245">
        <v>274</v>
      </c>
      <c r="F89" s="5">
        <v>274</v>
      </c>
    </row>
    <row r="90" spans="1:6" x14ac:dyDescent="0.25">
      <c r="A90" s="249"/>
      <c r="B90" s="247"/>
      <c r="C90" s="248"/>
      <c r="D90" s="246"/>
      <c r="E90" s="245"/>
      <c r="F90" s="5">
        <v>277</v>
      </c>
    </row>
    <row r="91" spans="1:6" x14ac:dyDescent="0.25">
      <c r="A91" s="249"/>
      <c r="B91" s="247"/>
      <c r="C91" s="248"/>
      <c r="D91" s="246"/>
      <c r="E91" s="245">
        <v>280</v>
      </c>
      <c r="F91" s="5">
        <v>280</v>
      </c>
    </row>
    <row r="92" spans="1:6" x14ac:dyDescent="0.25">
      <c r="A92" s="249"/>
      <c r="B92" s="247"/>
      <c r="C92" s="248"/>
      <c r="D92" s="246"/>
      <c r="E92" s="245"/>
      <c r="F92" s="5">
        <v>284</v>
      </c>
    </row>
    <row r="93" spans="1:6" x14ac:dyDescent="0.25">
      <c r="A93" s="249"/>
      <c r="B93" s="247"/>
      <c r="C93" s="248">
        <v>300</v>
      </c>
      <c r="D93" s="246">
        <v>287</v>
      </c>
      <c r="E93" s="245">
        <v>287</v>
      </c>
      <c r="F93" s="5">
        <v>287</v>
      </c>
    </row>
    <row r="94" spans="1:6" x14ac:dyDescent="0.25">
      <c r="A94" s="249"/>
      <c r="B94" s="247"/>
      <c r="C94" s="248"/>
      <c r="D94" s="246"/>
      <c r="E94" s="245"/>
      <c r="F94" s="5">
        <v>291</v>
      </c>
    </row>
    <row r="95" spans="1:6" x14ac:dyDescent="0.25">
      <c r="A95" s="249"/>
      <c r="B95" s="247"/>
      <c r="C95" s="248"/>
      <c r="D95" s="246"/>
      <c r="E95" s="245">
        <v>294</v>
      </c>
      <c r="F95" s="5">
        <v>294</v>
      </c>
    </row>
    <row r="96" spans="1:6" x14ac:dyDescent="0.25">
      <c r="A96" s="249"/>
      <c r="B96" s="247"/>
      <c r="C96" s="248"/>
      <c r="D96" s="246"/>
      <c r="E96" s="245"/>
      <c r="F96" s="5">
        <v>298</v>
      </c>
    </row>
    <row r="97" spans="1:6" x14ac:dyDescent="0.25">
      <c r="A97" s="249"/>
      <c r="B97" s="247"/>
      <c r="C97" s="248"/>
      <c r="D97" s="246">
        <v>301</v>
      </c>
      <c r="E97" s="245">
        <v>301</v>
      </c>
      <c r="F97" s="5">
        <v>301</v>
      </c>
    </row>
    <row r="98" spans="1:6" x14ac:dyDescent="0.25">
      <c r="A98" s="249"/>
      <c r="B98" s="247"/>
      <c r="C98" s="248"/>
      <c r="D98" s="246"/>
      <c r="E98" s="245"/>
      <c r="F98" s="5">
        <v>305</v>
      </c>
    </row>
    <row r="99" spans="1:6" x14ac:dyDescent="0.25">
      <c r="A99" s="249"/>
      <c r="B99" s="247"/>
      <c r="C99" s="248"/>
      <c r="D99" s="246"/>
      <c r="E99" s="245">
        <v>309</v>
      </c>
      <c r="F99" s="5">
        <v>309</v>
      </c>
    </row>
    <row r="100" spans="1:6" x14ac:dyDescent="0.25">
      <c r="A100" s="249"/>
      <c r="B100" s="247"/>
      <c r="C100" s="248"/>
      <c r="D100" s="246"/>
      <c r="E100" s="245"/>
      <c r="F100" s="5">
        <v>312</v>
      </c>
    </row>
    <row r="101" spans="1:6" x14ac:dyDescent="0.25">
      <c r="A101" s="249">
        <v>330</v>
      </c>
      <c r="B101" s="247">
        <v>330</v>
      </c>
      <c r="C101" s="248">
        <v>330</v>
      </c>
      <c r="D101" s="246">
        <v>316</v>
      </c>
      <c r="E101" s="245">
        <v>316</v>
      </c>
      <c r="F101" s="5">
        <v>316</v>
      </c>
    </row>
    <row r="102" spans="1:6" x14ac:dyDescent="0.25">
      <c r="A102" s="249"/>
      <c r="B102" s="247"/>
      <c r="C102" s="248"/>
      <c r="D102" s="246"/>
      <c r="E102" s="245"/>
      <c r="F102" s="5">
        <v>320</v>
      </c>
    </row>
    <row r="103" spans="1:6" x14ac:dyDescent="0.25">
      <c r="A103" s="249"/>
      <c r="B103" s="247"/>
      <c r="C103" s="248"/>
      <c r="D103" s="246"/>
      <c r="E103" s="245">
        <v>324</v>
      </c>
      <c r="F103" s="5">
        <v>324</v>
      </c>
    </row>
    <row r="104" spans="1:6" x14ac:dyDescent="0.25">
      <c r="A104" s="249"/>
      <c r="B104" s="247"/>
      <c r="C104" s="248"/>
      <c r="D104" s="246"/>
      <c r="E104" s="245"/>
      <c r="F104" s="5">
        <v>328</v>
      </c>
    </row>
    <row r="105" spans="1:6" x14ac:dyDescent="0.25">
      <c r="A105" s="249"/>
      <c r="B105" s="247"/>
      <c r="C105" s="248"/>
      <c r="D105" s="246">
        <v>332</v>
      </c>
      <c r="E105" s="245">
        <v>332</v>
      </c>
      <c r="F105" s="5">
        <v>332</v>
      </c>
    </row>
    <row r="106" spans="1:6" x14ac:dyDescent="0.25">
      <c r="A106" s="249"/>
      <c r="B106" s="247"/>
      <c r="C106" s="248"/>
      <c r="D106" s="246"/>
      <c r="E106" s="245"/>
      <c r="F106" s="5">
        <v>336</v>
      </c>
    </row>
    <row r="107" spans="1:6" x14ac:dyDescent="0.25">
      <c r="A107" s="249"/>
      <c r="B107" s="247"/>
      <c r="C107" s="248"/>
      <c r="D107" s="246"/>
      <c r="E107" s="245">
        <v>340</v>
      </c>
      <c r="F107" s="5">
        <v>340</v>
      </c>
    </row>
    <row r="108" spans="1:6" x14ac:dyDescent="0.25">
      <c r="A108" s="249"/>
      <c r="B108" s="247"/>
      <c r="C108" s="248"/>
      <c r="D108" s="246"/>
      <c r="E108" s="245"/>
      <c r="F108" s="5">
        <v>344</v>
      </c>
    </row>
    <row r="109" spans="1:6" x14ac:dyDescent="0.25">
      <c r="A109" s="249"/>
      <c r="B109" s="247"/>
      <c r="C109" s="248">
        <v>360</v>
      </c>
      <c r="D109" s="246">
        <v>348</v>
      </c>
      <c r="E109" s="245">
        <v>348</v>
      </c>
      <c r="F109" s="5">
        <v>348</v>
      </c>
    </row>
    <row r="110" spans="1:6" x14ac:dyDescent="0.25">
      <c r="A110" s="249"/>
      <c r="B110" s="247"/>
      <c r="C110" s="248"/>
      <c r="D110" s="246"/>
      <c r="E110" s="245"/>
      <c r="F110" s="5">
        <v>352</v>
      </c>
    </row>
    <row r="111" spans="1:6" x14ac:dyDescent="0.25">
      <c r="A111" s="249"/>
      <c r="B111" s="247"/>
      <c r="C111" s="248"/>
      <c r="D111" s="246"/>
      <c r="E111" s="245">
        <v>357</v>
      </c>
      <c r="F111" s="5">
        <v>357</v>
      </c>
    </row>
    <row r="112" spans="1:6" x14ac:dyDescent="0.25">
      <c r="A112" s="249"/>
      <c r="B112" s="247"/>
      <c r="C112" s="248"/>
      <c r="D112" s="246"/>
      <c r="E112" s="245"/>
      <c r="F112" s="5">
        <v>361</v>
      </c>
    </row>
    <row r="113" spans="1:6" x14ac:dyDescent="0.25">
      <c r="A113" s="249"/>
      <c r="B113" s="247"/>
      <c r="C113" s="248"/>
      <c r="D113" s="246">
        <v>365</v>
      </c>
      <c r="E113" s="245">
        <v>365</v>
      </c>
      <c r="F113" s="5">
        <v>365</v>
      </c>
    </row>
    <row r="114" spans="1:6" x14ac:dyDescent="0.25">
      <c r="A114" s="249"/>
      <c r="B114" s="247"/>
      <c r="C114" s="248"/>
      <c r="D114" s="246"/>
      <c r="E114" s="245"/>
      <c r="F114" s="5">
        <v>370</v>
      </c>
    </row>
    <row r="115" spans="1:6" x14ac:dyDescent="0.25">
      <c r="A115" s="249"/>
      <c r="B115" s="247"/>
      <c r="C115" s="248"/>
      <c r="D115" s="246"/>
      <c r="E115" s="245">
        <v>374</v>
      </c>
      <c r="F115" s="5">
        <v>374</v>
      </c>
    </row>
    <row r="116" spans="1:6" x14ac:dyDescent="0.25">
      <c r="A116" s="249"/>
      <c r="B116" s="247"/>
      <c r="C116" s="248"/>
      <c r="D116" s="246"/>
      <c r="E116" s="245"/>
      <c r="F116" s="5">
        <v>379</v>
      </c>
    </row>
    <row r="117" spans="1:6" x14ac:dyDescent="0.25">
      <c r="A117" s="249"/>
      <c r="B117" s="247">
        <v>390</v>
      </c>
      <c r="C117" s="248">
        <v>390</v>
      </c>
      <c r="D117" s="246">
        <v>383</v>
      </c>
      <c r="E117" s="245">
        <v>383</v>
      </c>
      <c r="F117" s="5">
        <v>383</v>
      </c>
    </row>
    <row r="118" spans="1:6" x14ac:dyDescent="0.25">
      <c r="A118" s="249"/>
      <c r="B118" s="247"/>
      <c r="C118" s="248"/>
      <c r="D118" s="246"/>
      <c r="E118" s="245"/>
      <c r="F118" s="5">
        <v>388</v>
      </c>
    </row>
    <row r="119" spans="1:6" x14ac:dyDescent="0.25">
      <c r="A119" s="249"/>
      <c r="B119" s="247"/>
      <c r="C119" s="248"/>
      <c r="D119" s="246"/>
      <c r="E119" s="245">
        <v>392</v>
      </c>
      <c r="F119" s="5">
        <v>392</v>
      </c>
    </row>
    <row r="120" spans="1:6" x14ac:dyDescent="0.25">
      <c r="A120" s="249"/>
      <c r="B120" s="247"/>
      <c r="C120" s="248"/>
      <c r="D120" s="246"/>
      <c r="E120" s="245"/>
      <c r="F120" s="5">
        <v>397</v>
      </c>
    </row>
    <row r="121" spans="1:6" x14ac:dyDescent="0.25">
      <c r="A121" s="249"/>
      <c r="B121" s="247"/>
      <c r="C121" s="248"/>
      <c r="D121" s="246">
        <v>402</v>
      </c>
      <c r="E121" s="245">
        <v>402</v>
      </c>
      <c r="F121" s="5">
        <v>402</v>
      </c>
    </row>
    <row r="122" spans="1:6" x14ac:dyDescent="0.25">
      <c r="A122" s="249"/>
      <c r="B122" s="247"/>
      <c r="C122" s="248"/>
      <c r="D122" s="246"/>
      <c r="E122" s="245"/>
      <c r="F122" s="5">
        <v>407</v>
      </c>
    </row>
    <row r="123" spans="1:6" x14ac:dyDescent="0.25">
      <c r="A123" s="249"/>
      <c r="B123" s="247"/>
      <c r="C123" s="248"/>
      <c r="D123" s="246"/>
      <c r="E123" s="245">
        <v>412</v>
      </c>
      <c r="F123" s="5">
        <v>412</v>
      </c>
    </row>
    <row r="124" spans="1:6" x14ac:dyDescent="0.25">
      <c r="A124" s="249"/>
      <c r="B124" s="247"/>
      <c r="C124" s="248"/>
      <c r="D124" s="246"/>
      <c r="E124" s="245"/>
      <c r="F124" s="5">
        <v>417</v>
      </c>
    </row>
    <row r="125" spans="1:6" x14ac:dyDescent="0.25">
      <c r="A125" s="249"/>
      <c r="B125" s="247"/>
      <c r="C125" s="248">
        <v>430</v>
      </c>
      <c r="D125" s="246">
        <v>422</v>
      </c>
      <c r="E125" s="245">
        <v>422</v>
      </c>
      <c r="F125" s="5">
        <v>422</v>
      </c>
    </row>
    <row r="126" spans="1:6" x14ac:dyDescent="0.25">
      <c r="A126" s="249"/>
      <c r="B126" s="247"/>
      <c r="C126" s="248"/>
      <c r="D126" s="246"/>
      <c r="E126" s="245"/>
      <c r="F126" s="5">
        <v>427</v>
      </c>
    </row>
    <row r="127" spans="1:6" x14ac:dyDescent="0.25">
      <c r="A127" s="249"/>
      <c r="B127" s="247"/>
      <c r="C127" s="248"/>
      <c r="D127" s="246"/>
      <c r="E127" s="245">
        <v>432</v>
      </c>
      <c r="F127" s="5">
        <v>432</v>
      </c>
    </row>
    <row r="128" spans="1:6" x14ac:dyDescent="0.25">
      <c r="A128" s="249"/>
      <c r="B128" s="247"/>
      <c r="C128" s="248"/>
      <c r="D128" s="246"/>
      <c r="E128" s="245"/>
      <c r="F128" s="5">
        <v>437</v>
      </c>
    </row>
    <row r="129" spans="1:6" x14ac:dyDescent="0.25">
      <c r="A129" s="249"/>
      <c r="B129" s="247"/>
      <c r="C129" s="248"/>
      <c r="D129" s="246">
        <v>442</v>
      </c>
      <c r="E129" s="245">
        <v>442</v>
      </c>
      <c r="F129" s="5">
        <v>442</v>
      </c>
    </row>
    <row r="130" spans="1:6" x14ac:dyDescent="0.25">
      <c r="A130" s="249"/>
      <c r="B130" s="247"/>
      <c r="C130" s="248"/>
      <c r="D130" s="246"/>
      <c r="E130" s="245"/>
      <c r="F130" s="5">
        <v>448</v>
      </c>
    </row>
    <row r="131" spans="1:6" x14ac:dyDescent="0.25">
      <c r="A131" s="249"/>
      <c r="B131" s="247"/>
      <c r="C131" s="248"/>
      <c r="D131" s="246"/>
      <c r="E131" s="245">
        <v>453</v>
      </c>
      <c r="F131" s="5">
        <v>453</v>
      </c>
    </row>
    <row r="132" spans="1:6" x14ac:dyDescent="0.25">
      <c r="A132" s="249"/>
      <c r="B132" s="247"/>
      <c r="C132" s="248"/>
      <c r="D132" s="246"/>
      <c r="E132" s="245"/>
      <c r="F132" s="5">
        <v>459</v>
      </c>
    </row>
    <row r="133" spans="1:6" x14ac:dyDescent="0.25">
      <c r="A133" s="249">
        <v>470</v>
      </c>
      <c r="B133" s="247">
        <v>470</v>
      </c>
      <c r="C133" s="248">
        <v>470</v>
      </c>
      <c r="D133" s="246">
        <v>464</v>
      </c>
      <c r="E133" s="245">
        <v>464</v>
      </c>
      <c r="F133" s="5">
        <v>464</v>
      </c>
    </row>
    <row r="134" spans="1:6" x14ac:dyDescent="0.25">
      <c r="A134" s="249"/>
      <c r="B134" s="247"/>
      <c r="C134" s="248"/>
      <c r="D134" s="246"/>
      <c r="E134" s="245"/>
      <c r="F134" s="5">
        <v>470</v>
      </c>
    </row>
    <row r="135" spans="1:6" x14ac:dyDescent="0.25">
      <c r="A135" s="249"/>
      <c r="B135" s="247"/>
      <c r="C135" s="248"/>
      <c r="D135" s="246"/>
      <c r="E135" s="245">
        <v>475</v>
      </c>
      <c r="F135" s="5">
        <v>475</v>
      </c>
    </row>
    <row r="136" spans="1:6" x14ac:dyDescent="0.25">
      <c r="A136" s="249"/>
      <c r="B136" s="247"/>
      <c r="C136" s="248"/>
      <c r="D136" s="246"/>
      <c r="E136" s="245"/>
      <c r="F136" s="5">
        <v>481</v>
      </c>
    </row>
    <row r="137" spans="1:6" x14ac:dyDescent="0.25">
      <c r="A137" s="249"/>
      <c r="B137" s="247"/>
      <c r="C137" s="248"/>
      <c r="D137" s="246">
        <v>487</v>
      </c>
      <c r="E137" s="245">
        <v>487</v>
      </c>
      <c r="F137" s="5">
        <v>487</v>
      </c>
    </row>
    <row r="138" spans="1:6" x14ac:dyDescent="0.25">
      <c r="A138" s="249"/>
      <c r="B138" s="247"/>
      <c r="C138" s="248"/>
      <c r="D138" s="246"/>
      <c r="E138" s="245"/>
      <c r="F138" s="5">
        <v>493</v>
      </c>
    </row>
    <row r="139" spans="1:6" x14ac:dyDescent="0.25">
      <c r="A139" s="249"/>
      <c r="B139" s="247"/>
      <c r="C139" s="248"/>
      <c r="D139" s="246"/>
      <c r="E139" s="245">
        <v>499</v>
      </c>
      <c r="F139" s="5">
        <v>499</v>
      </c>
    </row>
    <row r="140" spans="1:6" x14ac:dyDescent="0.25">
      <c r="A140" s="249"/>
      <c r="B140" s="247"/>
      <c r="C140" s="248"/>
      <c r="D140" s="246"/>
      <c r="E140" s="245"/>
      <c r="F140" s="5">
        <v>505</v>
      </c>
    </row>
    <row r="141" spans="1:6" x14ac:dyDescent="0.25">
      <c r="A141" s="249"/>
      <c r="B141" s="247"/>
      <c r="C141" s="248">
        <v>510</v>
      </c>
      <c r="D141" s="246">
        <v>511</v>
      </c>
      <c r="E141" s="245">
        <v>511</v>
      </c>
      <c r="F141" s="5">
        <v>511</v>
      </c>
    </row>
    <row r="142" spans="1:6" x14ac:dyDescent="0.25">
      <c r="A142" s="249"/>
      <c r="B142" s="247"/>
      <c r="C142" s="248"/>
      <c r="D142" s="246"/>
      <c r="E142" s="245"/>
      <c r="F142" s="5">
        <v>517</v>
      </c>
    </row>
    <row r="143" spans="1:6" x14ac:dyDescent="0.25">
      <c r="A143" s="249"/>
      <c r="B143" s="247"/>
      <c r="C143" s="248"/>
      <c r="D143" s="246"/>
      <c r="E143" s="245">
        <v>523</v>
      </c>
      <c r="F143" s="5">
        <v>523</v>
      </c>
    </row>
    <row r="144" spans="1:6" x14ac:dyDescent="0.25">
      <c r="A144" s="249"/>
      <c r="B144" s="247"/>
      <c r="C144" s="248"/>
      <c r="D144" s="246"/>
      <c r="E144" s="245"/>
      <c r="F144" s="5">
        <v>530</v>
      </c>
    </row>
    <row r="145" spans="1:6" x14ac:dyDescent="0.25">
      <c r="A145" s="249"/>
      <c r="B145" s="247"/>
      <c r="C145" s="248"/>
      <c r="D145" s="246">
        <v>536</v>
      </c>
      <c r="E145" s="245">
        <v>536</v>
      </c>
      <c r="F145" s="5">
        <v>536</v>
      </c>
    </row>
    <row r="146" spans="1:6" x14ac:dyDescent="0.25">
      <c r="A146" s="249"/>
      <c r="B146" s="247"/>
      <c r="C146" s="248"/>
      <c r="D146" s="246"/>
      <c r="E146" s="245"/>
      <c r="F146" s="5">
        <v>542</v>
      </c>
    </row>
    <row r="147" spans="1:6" x14ac:dyDescent="0.25">
      <c r="A147" s="249"/>
      <c r="B147" s="247"/>
      <c r="C147" s="248"/>
      <c r="D147" s="246"/>
      <c r="E147" s="245">
        <v>549</v>
      </c>
      <c r="F147" s="5">
        <v>549</v>
      </c>
    </row>
    <row r="148" spans="1:6" x14ac:dyDescent="0.25">
      <c r="A148" s="249"/>
      <c r="B148" s="247"/>
      <c r="C148" s="248"/>
      <c r="D148" s="246"/>
      <c r="E148" s="245"/>
      <c r="F148" s="5">
        <v>556</v>
      </c>
    </row>
    <row r="149" spans="1:6" x14ac:dyDescent="0.25">
      <c r="A149" s="249"/>
      <c r="B149" s="247">
        <v>560</v>
      </c>
      <c r="C149" s="248">
        <v>560</v>
      </c>
      <c r="D149" s="246">
        <v>562</v>
      </c>
      <c r="E149" s="245">
        <v>562</v>
      </c>
      <c r="F149" s="5">
        <v>562</v>
      </c>
    </row>
    <row r="150" spans="1:6" x14ac:dyDescent="0.25">
      <c r="A150" s="249"/>
      <c r="B150" s="247"/>
      <c r="C150" s="248"/>
      <c r="D150" s="246"/>
      <c r="E150" s="245"/>
      <c r="F150" s="5">
        <v>569</v>
      </c>
    </row>
    <row r="151" spans="1:6" x14ac:dyDescent="0.25">
      <c r="A151" s="249"/>
      <c r="B151" s="247"/>
      <c r="C151" s="248"/>
      <c r="D151" s="246"/>
      <c r="E151" s="245">
        <v>576</v>
      </c>
      <c r="F151" s="5">
        <v>576</v>
      </c>
    </row>
    <row r="152" spans="1:6" x14ac:dyDescent="0.25">
      <c r="A152" s="249"/>
      <c r="B152" s="247"/>
      <c r="C152" s="248"/>
      <c r="D152" s="246"/>
      <c r="E152" s="245"/>
      <c r="F152" s="5">
        <v>583</v>
      </c>
    </row>
    <row r="153" spans="1:6" x14ac:dyDescent="0.25">
      <c r="A153" s="249"/>
      <c r="B153" s="247"/>
      <c r="C153" s="248"/>
      <c r="D153" s="246">
        <v>590</v>
      </c>
      <c r="E153" s="245">
        <v>590</v>
      </c>
      <c r="F153" s="5">
        <v>590</v>
      </c>
    </row>
    <row r="154" spans="1:6" x14ac:dyDescent="0.25">
      <c r="A154" s="249"/>
      <c r="B154" s="247"/>
      <c r="C154" s="248"/>
      <c r="D154" s="246"/>
      <c r="E154" s="245"/>
      <c r="F154" s="5">
        <v>597</v>
      </c>
    </row>
    <row r="155" spans="1:6" x14ac:dyDescent="0.25">
      <c r="A155" s="249"/>
      <c r="B155" s="247"/>
      <c r="C155" s="248"/>
      <c r="D155" s="246"/>
      <c r="E155" s="245">
        <v>604</v>
      </c>
      <c r="F155" s="5">
        <v>604</v>
      </c>
    </row>
    <row r="156" spans="1:6" x14ac:dyDescent="0.25">
      <c r="A156" s="249"/>
      <c r="B156" s="247"/>
      <c r="C156" s="248"/>
      <c r="D156" s="246"/>
      <c r="E156" s="245"/>
      <c r="F156" s="5">
        <v>612</v>
      </c>
    </row>
    <row r="157" spans="1:6" x14ac:dyDescent="0.25">
      <c r="A157" s="249"/>
      <c r="B157" s="247"/>
      <c r="C157" s="248">
        <v>620</v>
      </c>
      <c r="D157" s="246">
        <v>619</v>
      </c>
      <c r="E157" s="245">
        <v>619</v>
      </c>
      <c r="F157" s="5">
        <v>619</v>
      </c>
    </row>
    <row r="158" spans="1:6" x14ac:dyDescent="0.25">
      <c r="A158" s="249"/>
      <c r="B158" s="247"/>
      <c r="C158" s="248"/>
      <c r="D158" s="246"/>
      <c r="E158" s="245"/>
      <c r="F158" s="5">
        <v>626</v>
      </c>
    </row>
    <row r="159" spans="1:6" x14ac:dyDescent="0.25">
      <c r="A159" s="249"/>
      <c r="B159" s="247"/>
      <c r="C159" s="248"/>
      <c r="D159" s="246"/>
      <c r="E159" s="245">
        <v>634</v>
      </c>
      <c r="F159" s="5">
        <v>634</v>
      </c>
    </row>
    <row r="160" spans="1:6" x14ac:dyDescent="0.25">
      <c r="A160" s="249"/>
      <c r="B160" s="247"/>
      <c r="C160" s="248"/>
      <c r="D160" s="246"/>
      <c r="E160" s="245"/>
      <c r="F160" s="5">
        <v>642</v>
      </c>
    </row>
    <row r="161" spans="1:6" x14ac:dyDescent="0.25">
      <c r="A161" s="249"/>
      <c r="B161" s="247"/>
      <c r="C161" s="248"/>
      <c r="D161" s="246">
        <v>649</v>
      </c>
      <c r="E161" s="245">
        <v>649</v>
      </c>
      <c r="F161" s="5">
        <v>649</v>
      </c>
    </row>
    <row r="162" spans="1:6" x14ac:dyDescent="0.25">
      <c r="A162" s="249"/>
      <c r="B162" s="247"/>
      <c r="C162" s="248"/>
      <c r="D162" s="246"/>
      <c r="E162" s="245"/>
      <c r="F162" s="5">
        <v>657</v>
      </c>
    </row>
    <row r="163" spans="1:6" x14ac:dyDescent="0.25">
      <c r="A163" s="249"/>
      <c r="B163" s="247"/>
      <c r="C163" s="248"/>
      <c r="D163" s="246"/>
      <c r="E163" s="245">
        <v>665</v>
      </c>
      <c r="F163" s="5">
        <v>665</v>
      </c>
    </row>
    <row r="164" spans="1:6" x14ac:dyDescent="0.25">
      <c r="A164" s="249"/>
      <c r="B164" s="247"/>
      <c r="C164" s="248"/>
      <c r="D164" s="246"/>
      <c r="E164" s="245"/>
      <c r="F164" s="5">
        <v>673</v>
      </c>
    </row>
    <row r="165" spans="1:6" x14ac:dyDescent="0.25">
      <c r="A165" s="249">
        <v>680</v>
      </c>
      <c r="B165" s="247">
        <v>680</v>
      </c>
      <c r="C165" s="248">
        <v>680</v>
      </c>
      <c r="D165" s="246">
        <v>681</v>
      </c>
      <c r="E165" s="245">
        <v>681</v>
      </c>
      <c r="F165" s="5">
        <v>681</v>
      </c>
    </row>
    <row r="166" spans="1:6" x14ac:dyDescent="0.25">
      <c r="A166" s="249"/>
      <c r="B166" s="247"/>
      <c r="C166" s="248"/>
      <c r="D166" s="246"/>
      <c r="E166" s="245"/>
      <c r="F166" s="5">
        <v>690</v>
      </c>
    </row>
    <row r="167" spans="1:6" x14ac:dyDescent="0.25">
      <c r="A167" s="249"/>
      <c r="B167" s="247"/>
      <c r="C167" s="248"/>
      <c r="D167" s="246"/>
      <c r="E167" s="245">
        <v>698</v>
      </c>
      <c r="F167" s="5">
        <v>698</v>
      </c>
    </row>
    <row r="168" spans="1:6" x14ac:dyDescent="0.25">
      <c r="A168" s="249"/>
      <c r="B168" s="247"/>
      <c r="C168" s="248"/>
      <c r="D168" s="246"/>
      <c r="E168" s="245"/>
      <c r="F168" s="5">
        <v>706</v>
      </c>
    </row>
    <row r="169" spans="1:6" x14ac:dyDescent="0.25">
      <c r="A169" s="249"/>
      <c r="B169" s="247"/>
      <c r="C169" s="248"/>
      <c r="D169" s="246">
        <v>715</v>
      </c>
      <c r="E169" s="245">
        <v>715</v>
      </c>
      <c r="F169" s="5">
        <v>715</v>
      </c>
    </row>
    <row r="170" spans="1:6" x14ac:dyDescent="0.25">
      <c r="A170" s="249"/>
      <c r="B170" s="247"/>
      <c r="C170" s="248"/>
      <c r="D170" s="246"/>
      <c r="E170" s="245"/>
      <c r="F170" s="5">
        <v>723</v>
      </c>
    </row>
    <row r="171" spans="1:6" x14ac:dyDescent="0.25">
      <c r="A171" s="249"/>
      <c r="B171" s="247"/>
      <c r="C171" s="248"/>
      <c r="D171" s="246"/>
      <c r="E171" s="245">
        <v>732</v>
      </c>
      <c r="F171" s="5">
        <v>732</v>
      </c>
    </row>
    <row r="172" spans="1:6" x14ac:dyDescent="0.25">
      <c r="A172" s="249"/>
      <c r="B172" s="247"/>
      <c r="C172" s="248"/>
      <c r="D172" s="246"/>
      <c r="E172" s="245"/>
      <c r="F172" s="5">
        <v>741</v>
      </c>
    </row>
    <row r="173" spans="1:6" x14ac:dyDescent="0.25">
      <c r="A173" s="249"/>
      <c r="B173" s="247"/>
      <c r="C173" s="248">
        <v>750</v>
      </c>
      <c r="D173" s="246">
        <v>750</v>
      </c>
      <c r="E173" s="245">
        <v>750</v>
      </c>
      <c r="F173" s="5">
        <v>750</v>
      </c>
    </row>
    <row r="174" spans="1:6" x14ac:dyDescent="0.25">
      <c r="A174" s="249"/>
      <c r="B174" s="247"/>
      <c r="C174" s="248"/>
      <c r="D174" s="246"/>
      <c r="E174" s="245"/>
      <c r="F174" s="5">
        <v>759</v>
      </c>
    </row>
    <row r="175" spans="1:6" x14ac:dyDescent="0.25">
      <c r="A175" s="249"/>
      <c r="B175" s="247"/>
      <c r="C175" s="248"/>
      <c r="D175" s="246"/>
      <c r="E175" s="245">
        <v>768</v>
      </c>
      <c r="F175" s="5">
        <v>768</v>
      </c>
    </row>
    <row r="176" spans="1:6" x14ac:dyDescent="0.25">
      <c r="A176" s="249"/>
      <c r="B176" s="247"/>
      <c r="C176" s="248"/>
      <c r="D176" s="246"/>
      <c r="E176" s="245"/>
      <c r="F176" s="5">
        <v>777</v>
      </c>
    </row>
    <row r="177" spans="1:6" x14ac:dyDescent="0.25">
      <c r="A177" s="249"/>
      <c r="B177" s="247"/>
      <c r="C177" s="248"/>
      <c r="D177" s="246">
        <v>787</v>
      </c>
      <c r="E177" s="245">
        <v>787</v>
      </c>
      <c r="F177" s="5">
        <v>787</v>
      </c>
    </row>
    <row r="178" spans="1:6" x14ac:dyDescent="0.25">
      <c r="A178" s="249"/>
      <c r="B178" s="247"/>
      <c r="C178" s="248"/>
      <c r="D178" s="246"/>
      <c r="E178" s="245"/>
      <c r="F178" s="5">
        <v>796</v>
      </c>
    </row>
    <row r="179" spans="1:6" x14ac:dyDescent="0.25">
      <c r="A179" s="249"/>
      <c r="B179" s="247"/>
      <c r="C179" s="248"/>
      <c r="D179" s="246"/>
      <c r="E179" s="245">
        <v>806</v>
      </c>
      <c r="F179" s="5">
        <v>806</v>
      </c>
    </row>
    <row r="180" spans="1:6" x14ac:dyDescent="0.25">
      <c r="A180" s="249"/>
      <c r="B180" s="247"/>
      <c r="C180" s="248"/>
      <c r="D180" s="246"/>
      <c r="E180" s="245"/>
      <c r="F180" s="5">
        <v>816</v>
      </c>
    </row>
    <row r="181" spans="1:6" x14ac:dyDescent="0.25">
      <c r="A181" s="249"/>
      <c r="B181" s="247">
        <v>820</v>
      </c>
      <c r="C181" s="248">
        <v>820</v>
      </c>
      <c r="D181" s="246">
        <v>825</v>
      </c>
      <c r="E181" s="245">
        <v>825</v>
      </c>
      <c r="F181" s="5">
        <v>825</v>
      </c>
    </row>
    <row r="182" spans="1:6" x14ac:dyDescent="0.25">
      <c r="A182" s="249"/>
      <c r="B182" s="247"/>
      <c r="C182" s="248"/>
      <c r="D182" s="246"/>
      <c r="E182" s="245"/>
      <c r="F182" s="5">
        <v>835</v>
      </c>
    </row>
    <row r="183" spans="1:6" x14ac:dyDescent="0.25">
      <c r="A183" s="249"/>
      <c r="B183" s="247"/>
      <c r="C183" s="248"/>
      <c r="D183" s="246"/>
      <c r="E183" s="245">
        <v>845</v>
      </c>
      <c r="F183" s="5">
        <v>845</v>
      </c>
    </row>
    <row r="184" spans="1:6" x14ac:dyDescent="0.25">
      <c r="A184" s="249"/>
      <c r="B184" s="247"/>
      <c r="C184" s="248"/>
      <c r="D184" s="246"/>
      <c r="E184" s="245"/>
      <c r="F184" s="5">
        <v>856</v>
      </c>
    </row>
    <row r="185" spans="1:6" x14ac:dyDescent="0.25">
      <c r="A185" s="249"/>
      <c r="B185" s="247"/>
      <c r="C185" s="248"/>
      <c r="D185" s="246">
        <v>866</v>
      </c>
      <c r="E185" s="245">
        <v>866</v>
      </c>
      <c r="F185" s="5">
        <v>866</v>
      </c>
    </row>
    <row r="186" spans="1:6" x14ac:dyDescent="0.25">
      <c r="A186" s="249"/>
      <c r="B186" s="247"/>
      <c r="C186" s="248"/>
      <c r="D186" s="246"/>
      <c r="E186" s="245"/>
      <c r="F186" s="5">
        <v>876</v>
      </c>
    </row>
    <row r="187" spans="1:6" x14ac:dyDescent="0.25">
      <c r="A187" s="249"/>
      <c r="B187" s="247"/>
      <c r="C187" s="248"/>
      <c r="D187" s="246"/>
      <c r="E187" s="245">
        <v>887</v>
      </c>
      <c r="F187" s="5">
        <v>887</v>
      </c>
    </row>
    <row r="188" spans="1:6" x14ac:dyDescent="0.25">
      <c r="A188" s="249"/>
      <c r="B188" s="247"/>
      <c r="C188" s="248"/>
      <c r="D188" s="246"/>
      <c r="E188" s="245"/>
      <c r="F188" s="5">
        <v>898</v>
      </c>
    </row>
    <row r="189" spans="1:6" x14ac:dyDescent="0.25">
      <c r="A189" s="249"/>
      <c r="B189" s="247"/>
      <c r="C189" s="248">
        <v>910</v>
      </c>
      <c r="D189" s="246">
        <v>909</v>
      </c>
      <c r="E189" s="245">
        <v>909</v>
      </c>
      <c r="F189" s="5">
        <v>909</v>
      </c>
    </row>
    <row r="190" spans="1:6" x14ac:dyDescent="0.25">
      <c r="A190" s="249"/>
      <c r="B190" s="247"/>
      <c r="C190" s="248"/>
      <c r="D190" s="246"/>
      <c r="E190" s="245"/>
      <c r="F190" s="5">
        <v>920</v>
      </c>
    </row>
    <row r="191" spans="1:6" x14ac:dyDescent="0.25">
      <c r="A191" s="249"/>
      <c r="B191" s="247"/>
      <c r="C191" s="248"/>
      <c r="D191" s="246"/>
      <c r="E191" s="245">
        <v>931</v>
      </c>
      <c r="F191" s="5">
        <v>931</v>
      </c>
    </row>
    <row r="192" spans="1:6" x14ac:dyDescent="0.25">
      <c r="A192" s="249"/>
      <c r="B192" s="247"/>
      <c r="C192" s="248"/>
      <c r="D192" s="246"/>
      <c r="E192" s="245"/>
      <c r="F192" s="5">
        <v>942</v>
      </c>
    </row>
    <row r="193" spans="1:7" x14ac:dyDescent="0.25">
      <c r="A193" s="249"/>
      <c r="B193" s="247"/>
      <c r="C193" s="248"/>
      <c r="D193" s="246">
        <v>953</v>
      </c>
      <c r="E193" s="245">
        <v>953</v>
      </c>
      <c r="F193" s="5">
        <v>953</v>
      </c>
    </row>
    <row r="194" spans="1:7" x14ac:dyDescent="0.25">
      <c r="A194" s="249"/>
      <c r="B194" s="247"/>
      <c r="C194" s="248"/>
      <c r="D194" s="246"/>
      <c r="E194" s="245"/>
      <c r="F194" s="5">
        <v>965</v>
      </c>
    </row>
    <row r="195" spans="1:7" x14ac:dyDescent="0.25">
      <c r="A195" s="249"/>
      <c r="B195" s="247"/>
      <c r="C195" s="248"/>
      <c r="D195" s="246"/>
      <c r="E195" s="245">
        <v>976</v>
      </c>
      <c r="F195" s="5">
        <v>976</v>
      </c>
    </row>
    <row r="196" spans="1:7" x14ac:dyDescent="0.25">
      <c r="A196" s="249"/>
      <c r="B196" s="247"/>
      <c r="C196" s="248"/>
      <c r="D196" s="246"/>
      <c r="E196" s="245"/>
      <c r="F196" s="5">
        <v>988</v>
      </c>
    </row>
    <row r="197" spans="1:7" x14ac:dyDescent="0.25">
      <c r="A197" s="6">
        <v>1000</v>
      </c>
      <c r="B197" s="7">
        <v>1000</v>
      </c>
      <c r="C197" s="8">
        <v>1000</v>
      </c>
      <c r="D197" s="9">
        <v>1000</v>
      </c>
      <c r="E197" s="10">
        <v>1000</v>
      </c>
      <c r="F197" s="11">
        <v>1000</v>
      </c>
      <c r="G197" s="12" t="s">
        <v>72</v>
      </c>
    </row>
  </sheetData>
  <sheetProtection sheet="1" objects="1" scenarios="1"/>
  <mergeCells count="187">
    <mergeCell ref="C13:C20"/>
    <mergeCell ref="D13:D16"/>
    <mergeCell ref="E13:E14"/>
    <mergeCell ref="E15:E16"/>
    <mergeCell ref="D17:D20"/>
    <mergeCell ref="E17:E18"/>
    <mergeCell ref="E19:E20"/>
    <mergeCell ref="A1:F1"/>
    <mergeCell ref="A5:A36"/>
    <mergeCell ref="B5:B20"/>
    <mergeCell ref="C5:C12"/>
    <mergeCell ref="D5:D8"/>
    <mergeCell ref="E5:E6"/>
    <mergeCell ref="E7:E8"/>
    <mergeCell ref="D9:D12"/>
    <mergeCell ref="E9:E10"/>
    <mergeCell ref="E11:E12"/>
    <mergeCell ref="E29:E30"/>
    <mergeCell ref="E31:E32"/>
    <mergeCell ref="D33:D36"/>
    <mergeCell ref="E33:E34"/>
    <mergeCell ref="E35:E36"/>
    <mergeCell ref="A37:A68"/>
    <mergeCell ref="B37:B52"/>
    <mergeCell ref="C37:C44"/>
    <mergeCell ref="D37:D40"/>
    <mergeCell ref="E37:E38"/>
    <mergeCell ref="B21:B36"/>
    <mergeCell ref="C21:C28"/>
    <mergeCell ref="D21:D24"/>
    <mergeCell ref="E21:E22"/>
    <mergeCell ref="E23:E24"/>
    <mergeCell ref="D25:D28"/>
    <mergeCell ref="E25:E26"/>
    <mergeCell ref="E27:E28"/>
    <mergeCell ref="C29:C36"/>
    <mergeCell ref="D29:D32"/>
    <mergeCell ref="E39:E40"/>
    <mergeCell ref="D41:D44"/>
    <mergeCell ref="E41:E42"/>
    <mergeCell ref="E43:E44"/>
    <mergeCell ref="C45:C52"/>
    <mergeCell ref="D45:D48"/>
    <mergeCell ref="E45:E46"/>
    <mergeCell ref="E47:E48"/>
    <mergeCell ref="D49:D52"/>
    <mergeCell ref="E49:E50"/>
    <mergeCell ref="D61:D64"/>
    <mergeCell ref="E61:E62"/>
    <mergeCell ref="E63:E64"/>
    <mergeCell ref="D65:D68"/>
    <mergeCell ref="E65:E66"/>
    <mergeCell ref="E67:E68"/>
    <mergeCell ref="E51:E52"/>
    <mergeCell ref="B53:B68"/>
    <mergeCell ref="C53:C60"/>
    <mergeCell ref="D53:D56"/>
    <mergeCell ref="E53:E54"/>
    <mergeCell ref="E55:E56"/>
    <mergeCell ref="D57:D60"/>
    <mergeCell ref="E57:E58"/>
    <mergeCell ref="E59:E60"/>
    <mergeCell ref="C61:C68"/>
    <mergeCell ref="D77:D80"/>
    <mergeCell ref="E77:E78"/>
    <mergeCell ref="E79:E80"/>
    <mergeCell ref="D81:D84"/>
    <mergeCell ref="E81:E82"/>
    <mergeCell ref="E83:E84"/>
    <mergeCell ref="A69:A100"/>
    <mergeCell ref="B69:B84"/>
    <mergeCell ref="C69:C76"/>
    <mergeCell ref="D69:D72"/>
    <mergeCell ref="E69:E70"/>
    <mergeCell ref="E71:E72"/>
    <mergeCell ref="D73:D76"/>
    <mergeCell ref="E73:E74"/>
    <mergeCell ref="E75:E76"/>
    <mergeCell ref="C77:C84"/>
    <mergeCell ref="E93:E94"/>
    <mergeCell ref="E95:E96"/>
    <mergeCell ref="D97:D100"/>
    <mergeCell ref="E97:E98"/>
    <mergeCell ref="E99:E100"/>
    <mergeCell ref="A101:A132"/>
    <mergeCell ref="B101:B116"/>
    <mergeCell ref="C101:C108"/>
    <mergeCell ref="D101:D104"/>
    <mergeCell ref="E101:E102"/>
    <mergeCell ref="B85:B100"/>
    <mergeCell ref="C85:C92"/>
    <mergeCell ref="D85:D88"/>
    <mergeCell ref="E85:E86"/>
    <mergeCell ref="E87:E88"/>
    <mergeCell ref="D89:D92"/>
    <mergeCell ref="E89:E90"/>
    <mergeCell ref="E91:E92"/>
    <mergeCell ref="C93:C100"/>
    <mergeCell ref="D93:D96"/>
    <mergeCell ref="E103:E104"/>
    <mergeCell ref="D105:D108"/>
    <mergeCell ref="E105:E106"/>
    <mergeCell ref="E107:E108"/>
    <mergeCell ref="C109:C116"/>
    <mergeCell ref="D109:D112"/>
    <mergeCell ref="E109:E110"/>
    <mergeCell ref="E111:E112"/>
    <mergeCell ref="D113:D116"/>
    <mergeCell ref="E113:E114"/>
    <mergeCell ref="D125:D128"/>
    <mergeCell ref="E125:E126"/>
    <mergeCell ref="E127:E128"/>
    <mergeCell ref="D129:D132"/>
    <mergeCell ref="E129:E130"/>
    <mergeCell ref="E131:E132"/>
    <mergeCell ref="E115:E116"/>
    <mergeCell ref="B117:B132"/>
    <mergeCell ref="C117:C124"/>
    <mergeCell ref="D117:D120"/>
    <mergeCell ref="E117:E118"/>
    <mergeCell ref="E119:E120"/>
    <mergeCell ref="D121:D124"/>
    <mergeCell ref="E121:E122"/>
    <mergeCell ref="E123:E124"/>
    <mergeCell ref="C125:C132"/>
    <mergeCell ref="D141:D144"/>
    <mergeCell ref="E141:E142"/>
    <mergeCell ref="E143:E144"/>
    <mergeCell ref="D145:D148"/>
    <mergeCell ref="E145:E146"/>
    <mergeCell ref="E147:E148"/>
    <mergeCell ref="A133:A164"/>
    <mergeCell ref="B133:B148"/>
    <mergeCell ref="C133:C140"/>
    <mergeCell ref="D133:D136"/>
    <mergeCell ref="E133:E134"/>
    <mergeCell ref="E135:E136"/>
    <mergeCell ref="D137:D140"/>
    <mergeCell ref="E137:E138"/>
    <mergeCell ref="E139:E140"/>
    <mergeCell ref="C141:C148"/>
    <mergeCell ref="E157:E158"/>
    <mergeCell ref="E159:E160"/>
    <mergeCell ref="D161:D164"/>
    <mergeCell ref="E161:E162"/>
    <mergeCell ref="E163:E164"/>
    <mergeCell ref="A165:A196"/>
    <mergeCell ref="B165:B180"/>
    <mergeCell ref="C165:C172"/>
    <mergeCell ref="D165:D168"/>
    <mergeCell ref="E165:E166"/>
    <mergeCell ref="B149:B164"/>
    <mergeCell ref="C149:C156"/>
    <mergeCell ref="D149:D152"/>
    <mergeCell ref="E149:E150"/>
    <mergeCell ref="E151:E152"/>
    <mergeCell ref="D153:D156"/>
    <mergeCell ref="E153:E154"/>
    <mergeCell ref="E155:E156"/>
    <mergeCell ref="C157:C164"/>
    <mergeCell ref="D157:D160"/>
    <mergeCell ref="E167:E168"/>
    <mergeCell ref="D169:D172"/>
    <mergeCell ref="E169:E170"/>
    <mergeCell ref="E171:E172"/>
    <mergeCell ref="C173:C180"/>
    <mergeCell ref="D173:D176"/>
    <mergeCell ref="E173:E174"/>
    <mergeCell ref="E175:E176"/>
    <mergeCell ref="D177:D180"/>
    <mergeCell ref="E177:E178"/>
    <mergeCell ref="D189:D192"/>
    <mergeCell ref="E189:E190"/>
    <mergeCell ref="E191:E192"/>
    <mergeCell ref="D193:D196"/>
    <mergeCell ref="E193:E194"/>
    <mergeCell ref="E195:E196"/>
    <mergeCell ref="E179:E180"/>
    <mergeCell ref="B181:B196"/>
    <mergeCell ref="C181:C188"/>
    <mergeCell ref="D181:D184"/>
    <mergeCell ref="E181:E182"/>
    <mergeCell ref="E183:E184"/>
    <mergeCell ref="D185:D188"/>
    <mergeCell ref="E185:E186"/>
    <mergeCell ref="E187:E188"/>
    <mergeCell ref="C189:C196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theme="7" tint="-0.499984740745262"/>
  </sheetPr>
  <dimension ref="A1:F75"/>
  <sheetViews>
    <sheetView workbookViewId="0">
      <pane xSplit="1" ySplit="3" topLeftCell="C55" activePane="bottomRight" state="frozen"/>
      <selection activeCell="G170" sqref="G170"/>
      <selection pane="topRight" activeCell="G170" sqref="G170"/>
      <selection pane="bottomLeft" activeCell="G170" sqref="G170"/>
      <selection pane="bottomRight" activeCell="C75" sqref="C75"/>
    </sheetView>
  </sheetViews>
  <sheetFormatPr defaultRowHeight="15" x14ac:dyDescent="0.25"/>
  <cols>
    <col min="1" max="4" width="9.28515625" bestFit="1" customWidth="1"/>
  </cols>
  <sheetData>
    <row r="1" spans="1:4" ht="26.25" x14ac:dyDescent="0.4">
      <c r="A1" s="15" t="s">
        <v>74</v>
      </c>
      <c r="B1" s="15"/>
    </row>
    <row r="3" spans="1:4" x14ac:dyDescent="0.25">
      <c r="A3" s="13" t="s">
        <v>56</v>
      </c>
      <c r="B3" s="13" t="s">
        <v>8</v>
      </c>
      <c r="C3" s="13" t="s">
        <v>73</v>
      </c>
      <c r="D3" s="13" t="s">
        <v>76</v>
      </c>
    </row>
    <row r="4" spans="1:4" x14ac:dyDescent="0.25">
      <c r="A4" s="14">
        <v>1</v>
      </c>
      <c r="B4" s="14">
        <v>1</v>
      </c>
      <c r="C4" s="14">
        <v>1</v>
      </c>
      <c r="D4" s="14">
        <v>1</v>
      </c>
    </row>
    <row r="5" spans="1:4" x14ac:dyDescent="0.25">
      <c r="A5" s="14">
        <v>1.1000000000000001</v>
      </c>
      <c r="B5" s="14">
        <v>1.1000000000000001</v>
      </c>
      <c r="C5" s="14"/>
      <c r="D5" s="14"/>
    </row>
    <row r="6" spans="1:4" x14ac:dyDescent="0.25">
      <c r="A6" s="14">
        <v>1.2</v>
      </c>
      <c r="B6" s="14">
        <v>1.2</v>
      </c>
      <c r="C6" s="14"/>
      <c r="D6" s="14"/>
    </row>
    <row r="7" spans="1:4" x14ac:dyDescent="0.25">
      <c r="A7" s="14">
        <v>1.3</v>
      </c>
      <c r="B7" s="14">
        <v>1.3</v>
      </c>
      <c r="C7" s="14"/>
      <c r="D7" s="14"/>
    </row>
    <row r="8" spans="1:4" x14ac:dyDescent="0.25">
      <c r="A8" s="14">
        <v>1.5</v>
      </c>
      <c r="B8" s="14">
        <v>1.5</v>
      </c>
      <c r="C8" s="14">
        <v>1.5</v>
      </c>
      <c r="D8" s="14">
        <v>1.5</v>
      </c>
    </row>
    <row r="9" spans="1:4" x14ac:dyDescent="0.25">
      <c r="A9" s="14">
        <v>1.6</v>
      </c>
      <c r="B9" s="14">
        <v>1.6</v>
      </c>
      <c r="C9" s="14"/>
      <c r="D9" s="14"/>
    </row>
    <row r="10" spans="1:4" x14ac:dyDescent="0.25">
      <c r="A10" s="14">
        <v>1.8</v>
      </c>
      <c r="B10" s="14">
        <v>1.8</v>
      </c>
      <c r="C10" s="14"/>
      <c r="D10" s="14"/>
    </row>
    <row r="11" spans="1:4" x14ac:dyDescent="0.25">
      <c r="A11" s="14">
        <v>2</v>
      </c>
      <c r="B11" s="14">
        <v>2</v>
      </c>
      <c r="C11" s="14"/>
      <c r="D11" s="14"/>
    </row>
    <row r="12" spans="1:4" x14ac:dyDescent="0.25">
      <c r="A12" s="14">
        <v>2.2000000000000002</v>
      </c>
      <c r="B12" s="14">
        <v>2.2000000000000002</v>
      </c>
      <c r="C12" s="14">
        <v>2.2000000000000002</v>
      </c>
      <c r="D12" s="14">
        <v>2.2000000000000002</v>
      </c>
    </row>
    <row r="13" spans="1:4" x14ac:dyDescent="0.25">
      <c r="A13" s="14">
        <v>2.4</v>
      </c>
      <c r="B13" s="14">
        <v>2.4</v>
      </c>
      <c r="C13" s="14"/>
      <c r="D13" s="14"/>
    </row>
    <row r="14" spans="1:4" x14ac:dyDescent="0.25">
      <c r="A14" s="14">
        <v>2.7</v>
      </c>
      <c r="B14" s="14">
        <v>2.7</v>
      </c>
      <c r="C14" s="14"/>
      <c r="D14" s="14"/>
    </row>
    <row r="15" spans="1:4" x14ac:dyDescent="0.25">
      <c r="A15" s="14">
        <v>3</v>
      </c>
      <c r="B15" s="14">
        <v>3</v>
      </c>
      <c r="C15" s="14"/>
      <c r="D15" s="14"/>
    </row>
    <row r="16" spans="1:4" x14ac:dyDescent="0.25">
      <c r="A16" s="14">
        <v>3.3</v>
      </c>
      <c r="B16" s="14">
        <v>3.3</v>
      </c>
      <c r="C16" s="14">
        <v>3.3</v>
      </c>
      <c r="D16" s="14">
        <v>3.3</v>
      </c>
    </row>
    <row r="17" spans="1:6" x14ac:dyDescent="0.25">
      <c r="A17" s="14">
        <v>3.6</v>
      </c>
      <c r="B17" s="14">
        <v>3.6</v>
      </c>
      <c r="C17" s="14">
        <f>C18</f>
        <v>4.7</v>
      </c>
      <c r="D17" s="14"/>
    </row>
    <row r="18" spans="1:6" x14ac:dyDescent="0.25">
      <c r="A18" s="14">
        <v>3.9</v>
      </c>
      <c r="B18" s="14">
        <v>3.9</v>
      </c>
      <c r="C18" s="14">
        <f>C19</f>
        <v>4.7</v>
      </c>
      <c r="D18" s="14"/>
    </row>
    <row r="19" spans="1:6" x14ac:dyDescent="0.25">
      <c r="A19" s="14">
        <v>4.3</v>
      </c>
      <c r="B19" s="14">
        <v>4.3</v>
      </c>
      <c r="C19" s="14">
        <f>C20</f>
        <v>4.7</v>
      </c>
      <c r="D19" s="14"/>
    </row>
    <row r="20" spans="1:6" x14ac:dyDescent="0.25">
      <c r="A20" s="14">
        <v>4.7</v>
      </c>
      <c r="B20" s="14">
        <v>4.7</v>
      </c>
      <c r="C20" s="14">
        <v>4.7</v>
      </c>
      <c r="D20" s="14">
        <v>4.7</v>
      </c>
    </row>
    <row r="21" spans="1:6" x14ac:dyDescent="0.25">
      <c r="A21" s="14">
        <v>5.0999999999999996</v>
      </c>
      <c r="B21" s="14">
        <v>5.0999999999999996</v>
      </c>
      <c r="C21" s="14">
        <f>C22</f>
        <v>6.8</v>
      </c>
      <c r="D21" s="14"/>
    </row>
    <row r="22" spans="1:6" x14ac:dyDescent="0.25">
      <c r="A22" s="14">
        <v>5.6</v>
      </c>
      <c r="B22" s="14">
        <v>5.6</v>
      </c>
      <c r="C22" s="14">
        <f>C23</f>
        <v>6.8</v>
      </c>
      <c r="D22" s="14"/>
    </row>
    <row r="23" spans="1:6" x14ac:dyDescent="0.25">
      <c r="A23" s="14">
        <v>6.2</v>
      </c>
      <c r="B23" s="14">
        <v>6.2</v>
      </c>
      <c r="C23" s="14">
        <f>C24</f>
        <v>6.8</v>
      </c>
      <c r="D23" s="14"/>
    </row>
    <row r="24" spans="1:6" x14ac:dyDescent="0.25">
      <c r="A24" s="14">
        <v>6.8</v>
      </c>
      <c r="B24" s="14">
        <v>6.8</v>
      </c>
      <c r="C24" s="14">
        <v>6.8</v>
      </c>
      <c r="D24" s="14">
        <v>6.8</v>
      </c>
    </row>
    <row r="25" spans="1:6" x14ac:dyDescent="0.25">
      <c r="A25" s="14">
        <v>7.5</v>
      </c>
      <c r="B25" s="14">
        <v>7.5</v>
      </c>
      <c r="C25" s="14">
        <f>C26</f>
        <v>10</v>
      </c>
      <c r="D25" s="14"/>
    </row>
    <row r="26" spans="1:6" x14ac:dyDescent="0.25">
      <c r="A26" s="14">
        <v>8.1999999999999993</v>
      </c>
      <c r="B26" s="14">
        <v>8.1999999999999993</v>
      </c>
      <c r="C26" s="14">
        <f>C27</f>
        <v>10</v>
      </c>
      <c r="D26" s="14"/>
    </row>
    <row r="27" spans="1:6" x14ac:dyDescent="0.25">
      <c r="A27" s="14">
        <v>9.1</v>
      </c>
      <c r="B27" s="14">
        <v>9.1</v>
      </c>
      <c r="C27" s="14">
        <f>C28</f>
        <v>10</v>
      </c>
      <c r="D27" s="14"/>
    </row>
    <row r="28" spans="1:6" x14ac:dyDescent="0.25">
      <c r="A28" s="14">
        <v>10</v>
      </c>
      <c r="B28" s="14">
        <v>10</v>
      </c>
      <c r="C28" s="14">
        <v>10</v>
      </c>
      <c r="D28" s="14">
        <v>10</v>
      </c>
    </row>
    <row r="29" spans="1:6" x14ac:dyDescent="0.25">
      <c r="A29" s="14">
        <v>11</v>
      </c>
      <c r="B29" s="14">
        <f t="shared" ref="B29:C31" si="0">B30</f>
        <v>15</v>
      </c>
      <c r="C29" s="14">
        <f t="shared" si="0"/>
        <v>15</v>
      </c>
      <c r="D29" s="14"/>
    </row>
    <row r="30" spans="1:6" x14ac:dyDescent="0.25">
      <c r="A30" s="14">
        <v>12</v>
      </c>
      <c r="B30" s="14">
        <f t="shared" si="0"/>
        <v>15</v>
      </c>
      <c r="C30" s="14">
        <f t="shared" si="0"/>
        <v>15</v>
      </c>
      <c r="D30" s="14"/>
    </row>
    <row r="31" spans="1:6" x14ac:dyDescent="0.25">
      <c r="A31" s="14">
        <v>13</v>
      </c>
      <c r="B31" s="14">
        <f t="shared" si="0"/>
        <v>15</v>
      </c>
      <c r="C31" s="14">
        <f t="shared" si="0"/>
        <v>15</v>
      </c>
      <c r="D31" s="14"/>
    </row>
    <row r="32" spans="1:6" x14ac:dyDescent="0.25">
      <c r="A32" s="14">
        <v>15</v>
      </c>
      <c r="B32" s="14">
        <v>15</v>
      </c>
      <c r="C32" s="14">
        <v>15</v>
      </c>
      <c r="D32" s="14"/>
      <c r="F32" s="16"/>
    </row>
    <row r="33" spans="1:4" x14ac:dyDescent="0.25">
      <c r="A33" s="14">
        <v>16</v>
      </c>
      <c r="B33" s="14">
        <f t="shared" ref="B33:C35" si="1">B34</f>
        <v>22</v>
      </c>
      <c r="C33" s="14">
        <f t="shared" si="1"/>
        <v>22</v>
      </c>
      <c r="D33" s="14"/>
    </row>
    <row r="34" spans="1:4" x14ac:dyDescent="0.25">
      <c r="A34" s="14">
        <v>18</v>
      </c>
      <c r="B34" s="14">
        <f t="shared" si="1"/>
        <v>22</v>
      </c>
      <c r="C34" s="14">
        <f t="shared" si="1"/>
        <v>22</v>
      </c>
      <c r="D34" s="14"/>
    </row>
    <row r="35" spans="1:4" x14ac:dyDescent="0.25">
      <c r="A35" s="14">
        <v>20</v>
      </c>
      <c r="B35" s="14">
        <f t="shared" si="1"/>
        <v>22</v>
      </c>
      <c r="C35" s="14">
        <f t="shared" si="1"/>
        <v>22</v>
      </c>
      <c r="D35" s="14"/>
    </row>
    <row r="36" spans="1:4" x14ac:dyDescent="0.25">
      <c r="A36" s="14">
        <v>22</v>
      </c>
      <c r="B36" s="14">
        <v>22</v>
      </c>
      <c r="C36" s="14">
        <v>22</v>
      </c>
      <c r="D36" s="14"/>
    </row>
    <row r="37" spans="1:4" x14ac:dyDescent="0.25">
      <c r="A37" s="14">
        <v>24</v>
      </c>
      <c r="B37" s="14">
        <f t="shared" ref="B37:C39" si="2">B38</f>
        <v>33</v>
      </c>
      <c r="C37" s="14">
        <f t="shared" si="2"/>
        <v>33</v>
      </c>
      <c r="D37" s="14"/>
    </row>
    <row r="38" spans="1:4" x14ac:dyDescent="0.25">
      <c r="A38" s="14">
        <v>27</v>
      </c>
      <c r="B38" s="14">
        <f t="shared" si="2"/>
        <v>33</v>
      </c>
      <c r="C38" s="14">
        <f t="shared" si="2"/>
        <v>33</v>
      </c>
      <c r="D38" s="14"/>
    </row>
    <row r="39" spans="1:4" x14ac:dyDescent="0.25">
      <c r="A39" s="14">
        <v>30</v>
      </c>
      <c r="B39" s="14">
        <f t="shared" si="2"/>
        <v>33</v>
      </c>
      <c r="C39" s="14">
        <f t="shared" si="2"/>
        <v>33</v>
      </c>
      <c r="D39" s="14"/>
    </row>
    <row r="40" spans="1:4" x14ac:dyDescent="0.25">
      <c r="A40" s="14">
        <v>33</v>
      </c>
      <c r="B40" s="14">
        <v>33</v>
      </c>
      <c r="C40" s="14">
        <v>33</v>
      </c>
      <c r="D40" s="14"/>
    </row>
    <row r="41" spans="1:4" x14ac:dyDescent="0.25">
      <c r="A41" s="14">
        <v>36</v>
      </c>
      <c r="B41" s="14">
        <f t="shared" ref="B41:C43" si="3">B42</f>
        <v>47</v>
      </c>
      <c r="C41" s="14">
        <f t="shared" si="3"/>
        <v>47</v>
      </c>
      <c r="D41" s="14"/>
    </row>
    <row r="42" spans="1:4" x14ac:dyDescent="0.25">
      <c r="A42" s="14">
        <v>39</v>
      </c>
      <c r="B42" s="14">
        <f t="shared" si="3"/>
        <v>47</v>
      </c>
      <c r="C42" s="14">
        <f t="shared" si="3"/>
        <v>47</v>
      </c>
      <c r="D42" s="14"/>
    </row>
    <row r="43" spans="1:4" x14ac:dyDescent="0.25">
      <c r="A43" s="14">
        <v>43</v>
      </c>
      <c r="B43" s="14">
        <f t="shared" si="3"/>
        <v>47</v>
      </c>
      <c r="C43" s="14">
        <f t="shared" si="3"/>
        <v>47</v>
      </c>
      <c r="D43" s="14"/>
    </row>
    <row r="44" spans="1:4" x14ac:dyDescent="0.25">
      <c r="A44" s="14">
        <v>47</v>
      </c>
      <c r="B44" s="14">
        <v>47</v>
      </c>
      <c r="C44" s="14">
        <v>47</v>
      </c>
      <c r="D44" s="14"/>
    </row>
    <row r="45" spans="1:4" x14ac:dyDescent="0.25">
      <c r="A45" s="14">
        <v>51</v>
      </c>
      <c r="B45" s="14">
        <f t="shared" ref="B45:C47" si="4">B46</f>
        <v>68</v>
      </c>
      <c r="C45" s="14">
        <f t="shared" si="4"/>
        <v>68</v>
      </c>
      <c r="D45" s="14"/>
    </row>
    <row r="46" spans="1:4" x14ac:dyDescent="0.25">
      <c r="A46" s="14">
        <v>56</v>
      </c>
      <c r="B46" s="14">
        <f t="shared" si="4"/>
        <v>68</v>
      </c>
      <c r="C46" s="14">
        <f t="shared" si="4"/>
        <v>68</v>
      </c>
      <c r="D46" s="14"/>
    </row>
    <row r="47" spans="1:4" x14ac:dyDescent="0.25">
      <c r="A47" s="14">
        <v>62</v>
      </c>
      <c r="B47" s="14">
        <f t="shared" si="4"/>
        <v>68</v>
      </c>
      <c r="C47" s="14">
        <f t="shared" si="4"/>
        <v>68</v>
      </c>
      <c r="D47" s="14"/>
    </row>
    <row r="48" spans="1:4" x14ac:dyDescent="0.25">
      <c r="A48" s="14">
        <v>68</v>
      </c>
      <c r="B48" s="14">
        <v>68</v>
      </c>
      <c r="C48" s="14">
        <v>68</v>
      </c>
      <c r="D48" s="14"/>
    </row>
    <row r="49" spans="1:4" x14ac:dyDescent="0.25">
      <c r="A49" s="14">
        <v>75</v>
      </c>
      <c r="B49" s="14">
        <f t="shared" ref="B49:C51" si="5">B50</f>
        <v>100</v>
      </c>
      <c r="C49" s="14">
        <f t="shared" si="5"/>
        <v>100</v>
      </c>
      <c r="D49" s="14"/>
    </row>
    <row r="50" spans="1:4" x14ac:dyDescent="0.25">
      <c r="A50" s="14">
        <v>82</v>
      </c>
      <c r="B50" s="14">
        <f t="shared" si="5"/>
        <v>100</v>
      </c>
      <c r="C50" s="14">
        <f t="shared" si="5"/>
        <v>100</v>
      </c>
      <c r="D50" s="14"/>
    </row>
    <row r="51" spans="1:4" x14ac:dyDescent="0.25">
      <c r="A51" s="14">
        <v>91</v>
      </c>
      <c r="B51" s="14">
        <f t="shared" si="5"/>
        <v>100</v>
      </c>
      <c r="C51" s="14">
        <f t="shared" si="5"/>
        <v>100</v>
      </c>
      <c r="D51" s="14"/>
    </row>
    <row r="52" spans="1:4" x14ac:dyDescent="0.25">
      <c r="A52" s="14">
        <v>100</v>
      </c>
      <c r="B52" s="14">
        <v>100</v>
      </c>
      <c r="C52" s="14">
        <v>100</v>
      </c>
    </row>
    <row r="53" spans="1:4" x14ac:dyDescent="0.25">
      <c r="A53" s="14">
        <v>110</v>
      </c>
      <c r="B53" s="14">
        <f t="shared" ref="B53:C55" si="6">B54</f>
        <v>150</v>
      </c>
      <c r="C53" s="14">
        <f t="shared" si="6"/>
        <v>150</v>
      </c>
    </row>
    <row r="54" spans="1:4" x14ac:dyDescent="0.25">
      <c r="A54" s="14">
        <v>120</v>
      </c>
      <c r="B54" s="14">
        <f t="shared" si="6"/>
        <v>150</v>
      </c>
      <c r="C54" s="14">
        <f t="shared" si="6"/>
        <v>150</v>
      </c>
    </row>
    <row r="55" spans="1:4" x14ac:dyDescent="0.25">
      <c r="A55" s="14">
        <v>130</v>
      </c>
      <c r="B55" s="14">
        <f t="shared" si="6"/>
        <v>150</v>
      </c>
      <c r="C55" s="14">
        <f t="shared" si="6"/>
        <v>150</v>
      </c>
    </row>
    <row r="56" spans="1:4" x14ac:dyDescent="0.25">
      <c r="A56" s="14">
        <v>150</v>
      </c>
      <c r="B56" s="14">
        <v>150</v>
      </c>
      <c r="C56" s="14">
        <v>150</v>
      </c>
    </row>
    <row r="57" spans="1:4" x14ac:dyDescent="0.25">
      <c r="A57" s="14">
        <v>160</v>
      </c>
      <c r="B57" s="14">
        <f t="shared" ref="B57:C59" si="7">B58</f>
        <v>220</v>
      </c>
      <c r="C57" s="14">
        <f t="shared" si="7"/>
        <v>220</v>
      </c>
    </row>
    <row r="58" spans="1:4" x14ac:dyDescent="0.25">
      <c r="A58" s="14">
        <v>180</v>
      </c>
      <c r="B58" s="14">
        <f t="shared" si="7"/>
        <v>220</v>
      </c>
      <c r="C58" s="14">
        <f t="shared" si="7"/>
        <v>220</v>
      </c>
    </row>
    <row r="59" spans="1:4" x14ac:dyDescent="0.25">
      <c r="A59" s="14">
        <v>200</v>
      </c>
      <c r="B59" s="14">
        <f t="shared" si="7"/>
        <v>220</v>
      </c>
      <c r="C59" s="14">
        <f t="shared" si="7"/>
        <v>220</v>
      </c>
    </row>
    <row r="60" spans="1:4" x14ac:dyDescent="0.25">
      <c r="A60" s="14">
        <v>220</v>
      </c>
      <c r="B60" s="14">
        <v>220</v>
      </c>
      <c r="C60" s="14">
        <v>220</v>
      </c>
    </row>
    <row r="61" spans="1:4" x14ac:dyDescent="0.25">
      <c r="A61" s="14">
        <v>240</v>
      </c>
      <c r="B61" s="14">
        <f t="shared" ref="B61:C63" si="8">B62</f>
        <v>330</v>
      </c>
      <c r="C61" s="14">
        <f t="shared" si="8"/>
        <v>330</v>
      </c>
    </row>
    <row r="62" spans="1:4" x14ac:dyDescent="0.25">
      <c r="A62" s="14">
        <v>270</v>
      </c>
      <c r="B62" s="14">
        <f t="shared" si="8"/>
        <v>330</v>
      </c>
      <c r="C62" s="14">
        <f t="shared" si="8"/>
        <v>330</v>
      </c>
    </row>
    <row r="63" spans="1:4" x14ac:dyDescent="0.25">
      <c r="A63" s="14">
        <v>300</v>
      </c>
      <c r="B63" s="14">
        <f t="shared" si="8"/>
        <v>330</v>
      </c>
      <c r="C63" s="14">
        <f t="shared" si="8"/>
        <v>330</v>
      </c>
    </row>
    <row r="64" spans="1:4" x14ac:dyDescent="0.25">
      <c r="A64" s="14">
        <v>330</v>
      </c>
      <c r="B64" s="14">
        <v>330</v>
      </c>
      <c r="C64" s="14">
        <v>330</v>
      </c>
    </row>
    <row r="65" spans="1:3" x14ac:dyDescent="0.25">
      <c r="A65" s="14">
        <v>360</v>
      </c>
      <c r="B65" s="14">
        <f t="shared" ref="B65:C67" si="9">B66</f>
        <v>470</v>
      </c>
      <c r="C65" s="14">
        <f t="shared" si="9"/>
        <v>470</v>
      </c>
    </row>
    <row r="66" spans="1:3" x14ac:dyDescent="0.25">
      <c r="A66" s="14">
        <v>390</v>
      </c>
      <c r="B66" s="14">
        <f t="shared" si="9"/>
        <v>470</v>
      </c>
      <c r="C66" s="14">
        <f t="shared" si="9"/>
        <v>470</v>
      </c>
    </row>
    <row r="67" spans="1:3" x14ac:dyDescent="0.25">
      <c r="A67" s="14">
        <v>430</v>
      </c>
      <c r="B67" s="14">
        <f t="shared" si="9"/>
        <v>470</v>
      </c>
      <c r="C67" s="14">
        <f t="shared" si="9"/>
        <v>470</v>
      </c>
    </row>
    <row r="68" spans="1:3" x14ac:dyDescent="0.25">
      <c r="A68" s="14">
        <v>470</v>
      </c>
      <c r="B68" s="14">
        <v>470</v>
      </c>
      <c r="C68" s="14">
        <v>470</v>
      </c>
    </row>
    <row r="69" spans="1:3" x14ac:dyDescent="0.25">
      <c r="A69" s="14">
        <v>510</v>
      </c>
      <c r="B69" s="14">
        <f t="shared" ref="B69:C71" si="10">B70</f>
        <v>680</v>
      </c>
      <c r="C69" s="14">
        <f t="shared" si="10"/>
        <v>680</v>
      </c>
    </row>
    <row r="70" spans="1:3" x14ac:dyDescent="0.25">
      <c r="A70" s="14">
        <v>560</v>
      </c>
      <c r="B70" s="14">
        <f t="shared" si="10"/>
        <v>680</v>
      </c>
      <c r="C70" s="14">
        <f t="shared" si="10"/>
        <v>680</v>
      </c>
    </row>
    <row r="71" spans="1:3" x14ac:dyDescent="0.25">
      <c r="A71" s="14">
        <v>620</v>
      </c>
      <c r="B71" s="14">
        <f t="shared" si="10"/>
        <v>680</v>
      </c>
      <c r="C71" s="14">
        <f t="shared" si="10"/>
        <v>680</v>
      </c>
    </row>
    <row r="72" spans="1:3" x14ac:dyDescent="0.25">
      <c r="A72" s="14">
        <v>680</v>
      </c>
      <c r="B72" s="14">
        <v>680</v>
      </c>
      <c r="C72" s="14">
        <v>680</v>
      </c>
    </row>
    <row r="73" spans="1:3" x14ac:dyDescent="0.25">
      <c r="A73" s="14">
        <v>750</v>
      </c>
      <c r="B73" s="14">
        <f>B74</f>
        <v>1000</v>
      </c>
      <c r="C73" s="14">
        <f>C74</f>
        <v>1000</v>
      </c>
    </row>
    <row r="74" spans="1:3" x14ac:dyDescent="0.25">
      <c r="A74" s="14">
        <v>820</v>
      </c>
      <c r="B74" s="14">
        <f>B75</f>
        <v>1000</v>
      </c>
      <c r="C74" s="14">
        <f>C75</f>
        <v>1000</v>
      </c>
    </row>
    <row r="75" spans="1:3" x14ac:dyDescent="0.25">
      <c r="A75" s="14">
        <v>910</v>
      </c>
      <c r="B75" s="14">
        <v>1000</v>
      </c>
      <c r="C75" s="14">
        <v>1000</v>
      </c>
    </row>
  </sheetData>
  <sheetProtection sheet="1" objects="1" scenarios="1"/>
  <hyperlinks>
    <hyperlink ref="A1:B1" r:id="rId1" display="Standard Capacitor Values" xr:uid="{00000000-0004-0000-0300-000000000000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24</vt:i4>
      </vt:variant>
    </vt:vector>
  </HeadingPairs>
  <TitlesOfParts>
    <vt:vector size="28" baseType="lpstr">
      <vt:lpstr>Calculation Sheet</vt:lpstr>
      <vt:lpstr>Thermal Shutdown Limit Plot</vt:lpstr>
      <vt:lpstr>Res EIA Tables</vt:lpstr>
      <vt:lpstr>Cap Tables</vt:lpstr>
      <vt:lpstr>Cdvdt_ext</vt:lpstr>
      <vt:lpstr>Cdvdt_ext_cal1</vt:lpstr>
      <vt:lpstr>Cext_dvdt_cal2</vt:lpstr>
      <vt:lpstr>Cout</vt:lpstr>
      <vt:lpstr>Gain_dVdt</vt:lpstr>
      <vt:lpstr>GainIMON</vt:lpstr>
      <vt:lpstr>I_dVdt</vt:lpstr>
      <vt:lpstr>Icharge</vt:lpstr>
      <vt:lpstr>Icharge_req</vt:lpstr>
      <vt:lpstr>Ilimit</vt:lpstr>
      <vt:lpstr>Ilimit_final</vt:lpstr>
      <vt:lpstr>Imax</vt:lpstr>
      <vt:lpstr>OVref</vt:lpstr>
      <vt:lpstr>Rdson_125deg</vt:lpstr>
      <vt:lpstr>Rdson_25deg</vt:lpstr>
      <vt:lpstr>RILM</vt:lpstr>
      <vt:lpstr>Rlimit</vt:lpstr>
      <vt:lpstr>Rlstart</vt:lpstr>
      <vt:lpstr>RpUVLO</vt:lpstr>
      <vt:lpstr>Tchg_dvdt</vt:lpstr>
      <vt:lpstr>Tchg_req</vt:lpstr>
      <vt:lpstr>UVref</vt:lpstr>
      <vt:lpstr>Vcc_max</vt:lpstr>
      <vt:lpstr>VUVP</vt:lpstr>
    </vt:vector>
  </TitlesOfParts>
  <Company>Texas Instruments Incorporated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vishal.gupta@ti.com</dc:creator>
  <cp:lastModifiedBy>abinash singh</cp:lastModifiedBy>
  <cp:lastPrinted>2013-06-05T10:58:25Z</cp:lastPrinted>
  <dcterms:created xsi:type="dcterms:W3CDTF">2013-05-30T14:28:05Z</dcterms:created>
  <dcterms:modified xsi:type="dcterms:W3CDTF">2023-08-30T00:43:21Z</dcterms:modified>
</cp:coreProperties>
</file>